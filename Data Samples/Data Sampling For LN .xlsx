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<sst xmlns="http://schemas.openxmlformats.org/spreadsheetml/2006/main" count="340" uniqueCount="136">
  <si>
    <t>Nama Beatmap</t>
  </si>
  <si>
    <t>Supposed Dan Level</t>
  </si>
  <si>
    <t xml:space="preserve">Predicted Dan Level </t>
  </si>
  <si>
    <t>Dan Type</t>
  </si>
  <si>
    <t>Rating (Non SR)</t>
  </si>
  <si>
    <t xml:space="preserve">SR </t>
  </si>
  <si>
    <t>Object Count</t>
  </si>
  <si>
    <t>Notes</t>
  </si>
  <si>
    <t>Long Notes</t>
  </si>
  <si>
    <t>Long Note Ratio To Object Counts</t>
  </si>
  <si>
    <t>Local SR (osu! mania)</t>
  </si>
  <si>
    <t>Pattern Type</t>
  </si>
  <si>
    <t>Tamiyasu, Aoba -  Crayon Tulip</t>
  </si>
  <si>
    <t>0th Dan</t>
  </si>
  <si>
    <t>&lt;1st Dan</t>
  </si>
  <si>
    <t>LN</t>
  </si>
  <si>
    <t>N/A</t>
  </si>
  <si>
    <t>General</t>
  </si>
  <si>
    <t>Namirin - Mawaru Sora Usagi</t>
  </si>
  <si>
    <t>1st Dan</t>
  </si>
  <si>
    <t>mimimemeMIMI - Mr.Darling</t>
  </si>
  <si>
    <t>2nd Dan</t>
  </si>
  <si>
    <t>Mr. T - athletic meet of sound toy</t>
  </si>
  <si>
    <t>3rd Dan</t>
  </si>
  <si>
    <t>Takanashi Yasuharu - Doku Ryuu no Kabura</t>
  </si>
  <si>
    <t xml:space="preserve">4th Dan </t>
  </si>
  <si>
    <t xml:space="preserve">Perfume - Chocolate Disco </t>
  </si>
  <si>
    <t xml:space="preserve">5th Dan </t>
  </si>
  <si>
    <t>1st Dan Mid</t>
  </si>
  <si>
    <t xml:space="preserve">Nicode - Lune </t>
  </si>
  <si>
    <t xml:space="preserve">6th Dan </t>
  </si>
  <si>
    <t>5th Dan Mid</t>
  </si>
  <si>
    <t>Twice - Yes Or Yes</t>
  </si>
  <si>
    <t xml:space="preserve">7th Dan </t>
  </si>
  <si>
    <t>4th Dan Low</t>
  </si>
  <si>
    <t>Sakuzyo - Imprinting</t>
  </si>
  <si>
    <t>8th Dan</t>
  </si>
  <si>
    <t>6th dan Low</t>
  </si>
  <si>
    <t>Starving Trancer - New Gravity</t>
  </si>
  <si>
    <t xml:space="preserve">9th Dan </t>
  </si>
  <si>
    <t>6th Dan High</t>
  </si>
  <si>
    <t>OSTER Project - SpaceLand TOYBOX</t>
  </si>
  <si>
    <t xml:space="preserve">10th Dan </t>
  </si>
  <si>
    <t>9th Dan Mid</t>
  </si>
  <si>
    <t>Risk Junk - Quaver</t>
  </si>
  <si>
    <t xml:space="preserve">Gamma </t>
  </si>
  <si>
    <t>10th Dan Low</t>
  </si>
  <si>
    <t>DJ Yoshitaka - Jomanda</t>
  </si>
  <si>
    <t>Azimuth</t>
  </si>
  <si>
    <t>Gamma Low</t>
  </si>
  <si>
    <t>Technoplanet</t>
  </si>
  <si>
    <t>Zenith</t>
  </si>
  <si>
    <t>Azimuth Mid</t>
  </si>
  <si>
    <t>Yooh - Decoy</t>
  </si>
  <si>
    <t>Stellium</t>
  </si>
  <si>
    <t>Zenith High</t>
  </si>
  <si>
    <t xml:space="preserve">OkhaP - Reimu Instrumental </t>
  </si>
  <si>
    <t xml:space="preserve">0th Dan </t>
  </si>
  <si>
    <t>Inverse</t>
  </si>
  <si>
    <t>Mami Kawada - portamento</t>
  </si>
  <si>
    <t xml:space="preserve">1st Dan </t>
  </si>
  <si>
    <t xml:space="preserve">Silent Siren -  Yumeoi </t>
  </si>
  <si>
    <t xml:space="preserve">2nd  Dan </t>
  </si>
  <si>
    <t>Black &amp; Yooh - Xross INFECTION</t>
  </si>
  <si>
    <t xml:space="preserve">3L - Be Happy </t>
  </si>
  <si>
    <t>nano  feat.MFS - Savior of SONG</t>
  </si>
  <si>
    <t>5th Dan</t>
  </si>
  <si>
    <t>Aqua, Megumin, Darkness - Chiisana Boukensha</t>
  </si>
  <si>
    <t xml:space="preserve">Jeon Young Ho -  Brave heart </t>
  </si>
  <si>
    <t>Moe Shop - Heart</t>
  </si>
  <si>
    <t xml:space="preserve">8th Dan </t>
  </si>
  <si>
    <t>Toromaru - Hustle Beat!!</t>
  </si>
  <si>
    <t>2nd Dan Mid</t>
  </si>
  <si>
    <t>Mr. T - attack in the minor key</t>
  </si>
  <si>
    <t>7th Dan Low</t>
  </si>
  <si>
    <t>SHIKI - Pure Ruby</t>
  </si>
  <si>
    <t>8th Dan Mid</t>
  </si>
  <si>
    <t>Qrispy Joybox - Licca</t>
  </si>
  <si>
    <t>10th Dan High</t>
  </si>
  <si>
    <t>wa. - Black Lotus</t>
  </si>
  <si>
    <t>Azimuth High</t>
  </si>
  <si>
    <t xml:space="preserve">Gram - Nibelungen (240BPM) </t>
  </si>
  <si>
    <t>Stellium Mid</t>
  </si>
  <si>
    <t>Renka - if Hitori Omou</t>
  </si>
  <si>
    <t>Release</t>
  </si>
  <si>
    <t xml:space="preserve">Chata - Dango Daikazoku Mix Piano </t>
  </si>
  <si>
    <t>Kyarry Pamyu Pamyu - HARAJUKU IYAHOI</t>
  </si>
  <si>
    <t>RElease</t>
  </si>
  <si>
    <t>BEAST - 12:30</t>
  </si>
  <si>
    <t xml:space="preserve">3rd Dan </t>
  </si>
  <si>
    <t>Mili - Main Theme</t>
  </si>
  <si>
    <t>4th Dan</t>
  </si>
  <si>
    <t>NAGI* - Inside</t>
  </si>
  <si>
    <t>yanaginagi - in flight</t>
  </si>
  <si>
    <t>Beltaine - Rockhill</t>
  </si>
  <si>
    <t>7th Dan</t>
  </si>
  <si>
    <t xml:space="preserve">TAG - Romancing Layer </t>
  </si>
  <si>
    <t>2nd Dan High</t>
  </si>
  <si>
    <t>TOTTO  - Onigami</t>
  </si>
  <si>
    <t>5th Dan High</t>
  </si>
  <si>
    <t>DJ TEKINA SOMETHING - Internet Bitch</t>
  </si>
  <si>
    <t>10th Dan</t>
  </si>
  <si>
    <t>Cait sith -  Schrodinger no neko</t>
  </si>
  <si>
    <t>9th Dan High</t>
  </si>
  <si>
    <t xml:space="preserve">Kaneko Chiharu - Zettai Reido </t>
  </si>
  <si>
    <t>Gamma Mid</t>
  </si>
  <si>
    <t>11..64</t>
  </si>
  <si>
    <t>9,7</t>
  </si>
  <si>
    <t>brz1128 -  Alexandrite</t>
  </si>
  <si>
    <t>Penoreri - Lancelot ~Flame of The Rebellion</t>
  </si>
  <si>
    <t>Stellium High</t>
  </si>
  <si>
    <t>Kensuke Ushio - Lit</t>
  </si>
  <si>
    <t>Tech</t>
  </si>
  <si>
    <t>Kevin Penkin</t>
  </si>
  <si>
    <t>DDRKirby - Take it to the Limit</t>
  </si>
  <si>
    <t>C Show - Panic Holic</t>
  </si>
  <si>
    <t xml:space="preserve">STN - The Limbo </t>
  </si>
  <si>
    <t>2nd Dan Low</t>
  </si>
  <si>
    <t xml:space="preserve">Lily &amp; Morrigan </t>
  </si>
  <si>
    <t xml:space="preserve">Schubert - 'Trockne Blumen' </t>
  </si>
  <si>
    <t>6th Dan</t>
  </si>
  <si>
    <t xml:space="preserve">Camellia - Towards The Horizon </t>
  </si>
  <si>
    <t>6th Dan Low</t>
  </si>
  <si>
    <t>Penoreri - Sailing Force</t>
  </si>
  <si>
    <t>Toromaru - Enigma</t>
  </si>
  <si>
    <t>9th Dan</t>
  </si>
  <si>
    <t>Shiron - Code - CRiMSON</t>
  </si>
  <si>
    <t>8th Dan High</t>
  </si>
  <si>
    <t>Hommarju - Hellfire</t>
  </si>
  <si>
    <t>10th Dan Mid</t>
  </si>
  <si>
    <t>KAKU P MODEL - Big Brother</t>
  </si>
  <si>
    <t>Azimuth Low</t>
  </si>
  <si>
    <t>LunaticSounds - ~Dement After Legend~</t>
  </si>
  <si>
    <t>Zenith Mid</t>
  </si>
  <si>
    <t>sak feat. Myui - Unleashed World</t>
  </si>
  <si>
    <t>Stellium + (???)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</si>
</sst>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4" xfId="0" applyAlignment="1" applyFont="1" applyNumberFormat="1">
      <alignment horizontal="right"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right" shrinkToFit="0" vertical="center" wrapText="0"/>
    </xf>
    <xf borderId="0" fillId="0" fontId="1" numFmtId="0" xfId="0" applyAlignment="1" applyFont="1">
      <alignment horizontal="right"/>
    </xf>
    <xf borderId="0" fillId="0" fontId="1" numFmtId="4" xfId="0" applyAlignment="1" applyFont="1" applyNumberFormat="1">
      <alignment horizontal="right"/>
    </xf>
    <xf borderId="0" fillId="0" fontId="1" numFmtId="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61" displayName="Table1" name="Table1" id="1">
  <tableColumns count="12">
    <tableColumn name="Nama Beatmap" id="1"/>
    <tableColumn name="Supposed Dan Level" id="2"/>
    <tableColumn name="Predicted Dan Level " id="3"/>
    <tableColumn name="Dan Type" id="4"/>
    <tableColumn name="Rating (Non SR)" id="5"/>
    <tableColumn name="SR " id="6"/>
    <tableColumn name="Object Count" id="7"/>
    <tableColumn name="Notes" id="8"/>
    <tableColumn name="Long Notes" id="9"/>
    <tableColumn name="Long Note Ratio To Object Counts" id="10"/>
    <tableColumn name="Local SR (osu! mania)" id="11"/>
    <tableColumn name="Pattern Typ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21.0"/>
    <col customWidth="1" min="3" max="3" width="20.63"/>
    <col customWidth="1" min="4" max="4" width="18.88"/>
    <col customWidth="1" min="5" max="6" width="18.0"/>
    <col customWidth="1" min="7" max="7" width="15.13"/>
    <col customWidth="1" min="9" max="9" width="14.0"/>
    <col customWidth="1" min="10" max="10" width="30.63"/>
    <col customWidth="1" min="11" max="11" width="21.75"/>
    <col customWidth="1" min="12" max="12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.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>
        <v>6.57</v>
      </c>
      <c r="G2" s="1">
        <v>820.0</v>
      </c>
      <c r="H2" s="1">
        <v>518.0</v>
      </c>
      <c r="I2" s="1">
        <v>302.0</v>
      </c>
      <c r="J2" s="4">
        <f t="shared" ref="J2:J61" si="1">iferror(I2/G2, 0)</f>
        <v>0.3682926829</v>
      </c>
      <c r="K2" s="1">
        <v>2.79</v>
      </c>
      <c r="L2" s="1" t="s">
        <v>17</v>
      </c>
    </row>
    <row r="3" ht="22.5" customHeight="1">
      <c r="A3" s="1" t="s">
        <v>18</v>
      </c>
      <c r="B3" s="1" t="s">
        <v>19</v>
      </c>
      <c r="C3" s="1" t="s">
        <v>14</v>
      </c>
      <c r="D3" s="1" t="s">
        <v>15</v>
      </c>
      <c r="E3" s="1" t="s">
        <v>16</v>
      </c>
      <c r="F3" s="3">
        <v>6.6</v>
      </c>
      <c r="G3" s="1">
        <v>1068.0</v>
      </c>
      <c r="H3" s="1">
        <v>317.0</v>
      </c>
      <c r="I3" s="1">
        <v>751.0</v>
      </c>
      <c r="J3" s="4">
        <f t="shared" si="1"/>
        <v>0.7031835206</v>
      </c>
      <c r="K3" s="1">
        <v>2.85</v>
      </c>
      <c r="L3" s="1" t="s">
        <v>17</v>
      </c>
    </row>
    <row r="4" ht="22.5" customHeight="1">
      <c r="A4" s="1" t="s">
        <v>20</v>
      </c>
      <c r="B4" s="1" t="s">
        <v>21</v>
      </c>
      <c r="C4" s="1" t="s">
        <v>14</v>
      </c>
      <c r="D4" s="1" t="s">
        <v>15</v>
      </c>
      <c r="E4" s="1" t="s">
        <v>16</v>
      </c>
      <c r="F4" s="3">
        <v>10.07</v>
      </c>
      <c r="G4" s="1">
        <v>1242.0</v>
      </c>
      <c r="H4" s="1">
        <v>886.0</v>
      </c>
      <c r="I4" s="1">
        <v>356.0</v>
      </c>
      <c r="J4" s="4">
        <f t="shared" si="1"/>
        <v>0.2866344605</v>
      </c>
      <c r="K4" s="1">
        <v>3.82</v>
      </c>
      <c r="L4" s="1" t="s">
        <v>17</v>
      </c>
    </row>
    <row r="5" ht="22.5" customHeight="1">
      <c r="A5" s="1" t="s">
        <v>22</v>
      </c>
      <c r="B5" s="1" t="s">
        <v>23</v>
      </c>
      <c r="C5" s="1" t="s">
        <v>14</v>
      </c>
      <c r="D5" s="1" t="s">
        <v>15</v>
      </c>
      <c r="E5" s="1" t="s">
        <v>16</v>
      </c>
      <c r="F5" s="3">
        <v>13.97</v>
      </c>
      <c r="G5" s="1">
        <v>1512.0</v>
      </c>
      <c r="H5" s="1">
        <v>666.0</v>
      </c>
      <c r="I5" s="1">
        <v>846.0</v>
      </c>
      <c r="J5" s="4">
        <f t="shared" si="1"/>
        <v>0.5595238095</v>
      </c>
      <c r="K5" s="1">
        <v>4.43</v>
      </c>
      <c r="L5" s="1" t="s">
        <v>17</v>
      </c>
    </row>
    <row r="6" ht="22.5" customHeight="1">
      <c r="A6" s="1" t="s">
        <v>24</v>
      </c>
      <c r="B6" s="1" t="s">
        <v>25</v>
      </c>
      <c r="C6" s="1" t="s">
        <v>14</v>
      </c>
      <c r="D6" s="1" t="s">
        <v>15</v>
      </c>
      <c r="E6" s="1" t="s">
        <v>16</v>
      </c>
      <c r="F6" s="3">
        <v>13.74</v>
      </c>
      <c r="G6" s="1">
        <v>1309.0</v>
      </c>
      <c r="H6" s="1">
        <v>489.0</v>
      </c>
      <c r="I6" s="1">
        <v>820.0</v>
      </c>
      <c r="J6" s="4">
        <f t="shared" si="1"/>
        <v>0.6264323911</v>
      </c>
      <c r="K6" s="1">
        <v>4.27</v>
      </c>
      <c r="L6" s="1" t="s">
        <v>17</v>
      </c>
    </row>
    <row r="7" ht="22.5" customHeight="1">
      <c r="A7" s="1" t="s">
        <v>26</v>
      </c>
      <c r="B7" s="1" t="s">
        <v>27</v>
      </c>
      <c r="C7" s="1" t="s">
        <v>28</v>
      </c>
      <c r="D7" s="1" t="s">
        <v>15</v>
      </c>
      <c r="E7" s="1">
        <v>1.49</v>
      </c>
      <c r="F7" s="3">
        <v>15.1</v>
      </c>
      <c r="G7" s="1">
        <v>1516.0</v>
      </c>
      <c r="H7" s="1">
        <v>345.0</v>
      </c>
      <c r="I7" s="1">
        <v>1171.0</v>
      </c>
      <c r="J7" s="4">
        <f t="shared" si="1"/>
        <v>0.7724274406</v>
      </c>
      <c r="K7" s="1">
        <v>5.11</v>
      </c>
      <c r="L7" s="1" t="s">
        <v>17</v>
      </c>
    </row>
    <row r="8" ht="22.5" customHeight="1">
      <c r="A8" s="1" t="s">
        <v>29</v>
      </c>
      <c r="B8" s="1" t="s">
        <v>30</v>
      </c>
      <c r="C8" s="1" t="s">
        <v>31</v>
      </c>
      <c r="D8" s="1" t="s">
        <v>15</v>
      </c>
      <c r="E8" s="1">
        <v>5.62</v>
      </c>
      <c r="F8" s="3">
        <v>19.77</v>
      </c>
      <c r="G8" s="1">
        <v>1635.0</v>
      </c>
      <c r="H8" s="1">
        <v>441.0</v>
      </c>
      <c r="I8" s="1">
        <v>1194.0</v>
      </c>
      <c r="J8" s="4">
        <f t="shared" si="1"/>
        <v>0.7302752294</v>
      </c>
      <c r="K8" s="1">
        <v>6.19</v>
      </c>
      <c r="L8" s="1" t="s">
        <v>17</v>
      </c>
    </row>
    <row r="9" ht="22.5" customHeight="1">
      <c r="A9" s="1" t="s">
        <v>32</v>
      </c>
      <c r="B9" s="1" t="s">
        <v>33</v>
      </c>
      <c r="C9" s="1" t="s">
        <v>34</v>
      </c>
      <c r="D9" s="1" t="s">
        <v>15</v>
      </c>
      <c r="E9" s="1">
        <v>4.03</v>
      </c>
      <c r="F9" s="3">
        <v>17.8399</v>
      </c>
      <c r="G9" s="1">
        <v>1796.0</v>
      </c>
      <c r="H9" s="1">
        <v>206.0</v>
      </c>
      <c r="I9" s="1">
        <v>1590.0</v>
      </c>
      <c r="J9" s="4">
        <f t="shared" si="1"/>
        <v>0.8853006682</v>
      </c>
      <c r="K9" s="1">
        <v>6.06</v>
      </c>
      <c r="L9" s="1" t="s">
        <v>17</v>
      </c>
    </row>
    <row r="10" ht="22.5" customHeight="1">
      <c r="A10" s="1" t="s">
        <v>35</v>
      </c>
      <c r="B10" s="1" t="s">
        <v>36</v>
      </c>
      <c r="C10" s="1" t="s">
        <v>37</v>
      </c>
      <c r="D10" s="1" t="s">
        <v>15</v>
      </c>
      <c r="E10" s="1">
        <v>6.19</v>
      </c>
      <c r="F10" s="3">
        <v>20.5</v>
      </c>
      <c r="G10" s="1">
        <v>2230.0</v>
      </c>
      <c r="H10" s="1">
        <v>222.0</v>
      </c>
      <c r="I10" s="1">
        <v>2008.0</v>
      </c>
      <c r="J10" s="4">
        <f t="shared" si="1"/>
        <v>0.9004484305</v>
      </c>
      <c r="K10" s="1">
        <v>6.02</v>
      </c>
      <c r="L10" s="1" t="s">
        <v>17</v>
      </c>
    </row>
    <row r="11" ht="22.5" customHeight="1">
      <c r="A11" s="1" t="s">
        <v>38</v>
      </c>
      <c r="B11" s="1" t="s">
        <v>39</v>
      </c>
      <c r="C11" s="1" t="s">
        <v>40</v>
      </c>
      <c r="D11" s="1" t="s">
        <v>15</v>
      </c>
      <c r="E11" s="1">
        <v>6.79</v>
      </c>
      <c r="F11" s="3">
        <v>21.38</v>
      </c>
      <c r="G11" s="1">
        <v>1900.0</v>
      </c>
      <c r="H11" s="1">
        <v>199.0</v>
      </c>
      <c r="I11" s="1">
        <v>1701.0</v>
      </c>
      <c r="J11" s="4">
        <f t="shared" si="1"/>
        <v>0.8952631579</v>
      </c>
      <c r="K11" s="1">
        <v>7.85</v>
      </c>
      <c r="L11" s="1" t="s">
        <v>17</v>
      </c>
    </row>
    <row r="12" ht="22.5" customHeight="1">
      <c r="A12" s="1" t="s">
        <v>41</v>
      </c>
      <c r="B12" s="1" t="s">
        <v>42</v>
      </c>
      <c r="C12" s="1" t="s">
        <v>43</v>
      </c>
      <c r="D12" s="1" t="s">
        <v>15</v>
      </c>
      <c r="E12" s="1">
        <v>9.55</v>
      </c>
      <c r="F12" s="3">
        <v>25.27</v>
      </c>
      <c r="G12" s="1">
        <v>2151.0</v>
      </c>
      <c r="H12" s="1">
        <v>5.0</v>
      </c>
      <c r="I12" s="1">
        <v>2146.0</v>
      </c>
      <c r="J12" s="4">
        <f t="shared" si="1"/>
        <v>0.9976754998</v>
      </c>
      <c r="K12" s="1">
        <v>7.63</v>
      </c>
      <c r="L12" s="1" t="s">
        <v>17</v>
      </c>
    </row>
    <row r="13" ht="22.5" customHeight="1">
      <c r="A13" s="1" t="s">
        <v>44</v>
      </c>
      <c r="B13" s="1" t="s">
        <v>45</v>
      </c>
      <c r="C13" s="1" t="s">
        <v>46</v>
      </c>
      <c r="D13" s="1" t="s">
        <v>15</v>
      </c>
      <c r="E13" s="1">
        <v>10.14</v>
      </c>
      <c r="F13" s="3">
        <v>26.1642</v>
      </c>
      <c r="G13" s="1">
        <v>2551.0</v>
      </c>
      <c r="H13" s="1">
        <v>140.0</v>
      </c>
      <c r="I13" s="1">
        <v>2411.0</v>
      </c>
      <c r="J13" s="4">
        <f t="shared" si="1"/>
        <v>0.945119561</v>
      </c>
      <c r="K13" s="1">
        <v>8.88</v>
      </c>
      <c r="L13" s="1" t="s">
        <v>17</v>
      </c>
    </row>
    <row r="14" ht="22.5" customHeight="1">
      <c r="A14" s="1" t="s">
        <v>47</v>
      </c>
      <c r="B14" s="1" t="s">
        <v>48</v>
      </c>
      <c r="C14" s="1" t="s">
        <v>49</v>
      </c>
      <c r="D14" s="1" t="s">
        <v>15</v>
      </c>
      <c r="E14" s="1">
        <v>11.1</v>
      </c>
      <c r="F14" s="3">
        <v>27.6718</v>
      </c>
      <c r="G14" s="1">
        <v>3029.0</v>
      </c>
      <c r="H14" s="1">
        <v>191.0</v>
      </c>
      <c r="I14" s="1">
        <v>2838.0</v>
      </c>
      <c r="J14" s="4">
        <f t="shared" si="1"/>
        <v>0.9369428854</v>
      </c>
      <c r="K14" s="1">
        <v>8.62</v>
      </c>
      <c r="L14" s="1" t="s">
        <v>17</v>
      </c>
    </row>
    <row r="15" ht="22.5" customHeight="1">
      <c r="A15" s="1" t="s">
        <v>50</v>
      </c>
      <c r="B15" s="1" t="s">
        <v>51</v>
      </c>
      <c r="C15" s="1" t="s">
        <v>52</v>
      </c>
      <c r="D15" s="1" t="s">
        <v>15</v>
      </c>
      <c r="E15" s="1">
        <v>12.6</v>
      </c>
      <c r="F15" s="3">
        <v>30.1729</v>
      </c>
      <c r="G15" s="1">
        <v>3240.0</v>
      </c>
      <c r="H15" s="1">
        <v>166.0</v>
      </c>
      <c r="I15" s="1">
        <v>3074.0</v>
      </c>
      <c r="J15" s="4">
        <f t="shared" si="1"/>
        <v>0.9487654321</v>
      </c>
      <c r="K15" s="1">
        <v>9.672</v>
      </c>
      <c r="L15" s="1" t="s">
        <v>17</v>
      </c>
    </row>
    <row r="16" ht="22.5" customHeight="1">
      <c r="A16" s="1" t="s">
        <v>53</v>
      </c>
      <c r="B16" s="1" t="s">
        <v>54</v>
      </c>
      <c r="C16" s="1" t="s">
        <v>55</v>
      </c>
      <c r="D16" s="1" t="s">
        <v>15</v>
      </c>
      <c r="E16" s="1">
        <v>13.75</v>
      </c>
      <c r="F16" s="3">
        <v>32.1626</v>
      </c>
      <c r="G16" s="1">
        <v>4073.0</v>
      </c>
      <c r="H16" s="1">
        <v>1192.0</v>
      </c>
      <c r="I16" s="1">
        <v>2881.0</v>
      </c>
      <c r="J16" s="4">
        <f t="shared" si="1"/>
        <v>0.7073410263</v>
      </c>
      <c r="K16" s="1">
        <v>10.45</v>
      </c>
      <c r="L16" s="1" t="s">
        <v>17</v>
      </c>
    </row>
    <row r="17" ht="22.5" customHeight="1">
      <c r="A17" s="1" t="s">
        <v>56</v>
      </c>
      <c r="B17" s="1" t="s">
        <v>57</v>
      </c>
      <c r="C17" s="1" t="s">
        <v>14</v>
      </c>
      <c r="D17" s="1" t="s">
        <v>15</v>
      </c>
      <c r="E17" s="1" t="s">
        <v>16</v>
      </c>
      <c r="F17" s="3">
        <v>3.84</v>
      </c>
      <c r="G17" s="1">
        <v>215.0</v>
      </c>
      <c r="H17" s="1">
        <v>51.0</v>
      </c>
      <c r="I17" s="1">
        <v>164.0</v>
      </c>
      <c r="J17" s="4">
        <f t="shared" si="1"/>
        <v>0.7627906977</v>
      </c>
      <c r="K17" s="1">
        <v>1.94</v>
      </c>
      <c r="L17" s="1" t="s">
        <v>58</v>
      </c>
    </row>
    <row r="18" ht="22.5" customHeight="1">
      <c r="A18" s="1" t="s">
        <v>59</v>
      </c>
      <c r="B18" s="1" t="s">
        <v>60</v>
      </c>
      <c r="C18" s="1" t="s">
        <v>14</v>
      </c>
      <c r="D18" s="1" t="s">
        <v>15</v>
      </c>
      <c r="E18" s="1" t="s">
        <v>16</v>
      </c>
      <c r="F18" s="3">
        <v>4.447</v>
      </c>
      <c r="G18" s="1">
        <v>537.0</v>
      </c>
      <c r="H18" s="1">
        <v>238.0</v>
      </c>
      <c r="I18" s="1">
        <v>299.0</v>
      </c>
      <c r="J18" s="4">
        <f t="shared" si="1"/>
        <v>0.5567970205</v>
      </c>
      <c r="K18" s="1">
        <v>2.48</v>
      </c>
      <c r="L18" s="1" t="s">
        <v>58</v>
      </c>
    </row>
    <row r="19" ht="22.5" customHeight="1">
      <c r="A19" s="1" t="s">
        <v>61</v>
      </c>
      <c r="B19" s="1" t="s">
        <v>62</v>
      </c>
      <c r="C19" s="1" t="s">
        <v>14</v>
      </c>
      <c r="D19" s="1" t="s">
        <v>15</v>
      </c>
      <c r="E19" s="1" t="s">
        <v>16</v>
      </c>
      <c r="F19" s="3">
        <v>5.7712</v>
      </c>
      <c r="G19" s="1">
        <v>760.0</v>
      </c>
      <c r="H19" s="1">
        <v>323.0</v>
      </c>
      <c r="I19" s="1">
        <v>437.0</v>
      </c>
      <c r="J19" s="4">
        <f t="shared" si="1"/>
        <v>0.575</v>
      </c>
      <c r="K19" s="1">
        <v>2.85</v>
      </c>
      <c r="L19" s="1" t="s">
        <v>58</v>
      </c>
    </row>
    <row r="20" ht="22.5" customHeight="1">
      <c r="A20" s="1" t="s">
        <v>63</v>
      </c>
      <c r="B20" s="1" t="s">
        <v>23</v>
      </c>
      <c r="C20" s="1" t="s">
        <v>14</v>
      </c>
      <c r="D20" s="1" t="s">
        <v>15</v>
      </c>
      <c r="E20" s="1" t="s">
        <v>16</v>
      </c>
      <c r="F20" s="3">
        <v>3.64</v>
      </c>
      <c r="G20" s="1">
        <v>323.0</v>
      </c>
      <c r="H20" s="1">
        <v>17.0</v>
      </c>
      <c r="I20" s="1">
        <v>306.0</v>
      </c>
      <c r="J20" s="4">
        <f t="shared" si="1"/>
        <v>0.9473684211</v>
      </c>
      <c r="K20" s="1">
        <v>2.31</v>
      </c>
      <c r="L20" s="1" t="s">
        <v>58</v>
      </c>
    </row>
    <row r="21" ht="22.5" customHeight="1">
      <c r="A21" s="1" t="s">
        <v>64</v>
      </c>
      <c r="B21" s="1" t="s">
        <v>25</v>
      </c>
      <c r="C21" s="1" t="s">
        <v>14</v>
      </c>
      <c r="D21" s="1" t="s">
        <v>15</v>
      </c>
      <c r="E21" s="1" t="s">
        <v>16</v>
      </c>
      <c r="F21" s="3">
        <v>7.05</v>
      </c>
      <c r="G21" s="1">
        <v>543.0</v>
      </c>
      <c r="H21" s="1">
        <v>12.0</v>
      </c>
      <c r="I21" s="1">
        <v>531.0</v>
      </c>
      <c r="J21" s="4">
        <f t="shared" si="1"/>
        <v>0.9779005525</v>
      </c>
      <c r="K21" s="1">
        <v>3.2</v>
      </c>
      <c r="L21" s="1" t="s">
        <v>58</v>
      </c>
    </row>
    <row r="22" ht="22.5" customHeight="1">
      <c r="A22" s="1" t="s">
        <v>65</v>
      </c>
      <c r="B22" s="1" t="s">
        <v>66</v>
      </c>
      <c r="C22" s="1" t="s">
        <v>14</v>
      </c>
      <c r="D22" s="1" t="s">
        <v>15</v>
      </c>
      <c r="E22" s="1" t="s">
        <v>16</v>
      </c>
      <c r="F22" s="3">
        <v>8.61</v>
      </c>
      <c r="G22" s="1">
        <v>602.0</v>
      </c>
      <c r="H22" s="1">
        <v>1.0</v>
      </c>
      <c r="I22" s="1">
        <v>601.0</v>
      </c>
      <c r="J22" s="4">
        <f t="shared" si="1"/>
        <v>0.9983388704</v>
      </c>
      <c r="K22" s="1">
        <v>4.16</v>
      </c>
      <c r="L22" s="1" t="s">
        <v>58</v>
      </c>
    </row>
    <row r="23" ht="22.5" customHeight="1">
      <c r="A23" s="1" t="s">
        <v>67</v>
      </c>
      <c r="B23" s="1" t="s">
        <v>30</v>
      </c>
      <c r="C23" s="1" t="s">
        <v>14</v>
      </c>
      <c r="D23" s="1" t="s">
        <v>15</v>
      </c>
      <c r="E23" s="1" t="s">
        <v>16</v>
      </c>
      <c r="F23" s="3">
        <v>6.6597</v>
      </c>
      <c r="G23" s="1">
        <v>756.0</v>
      </c>
      <c r="H23" s="1">
        <v>2.0</v>
      </c>
      <c r="I23" s="1">
        <v>754.0</v>
      </c>
      <c r="J23" s="4">
        <f t="shared" si="1"/>
        <v>0.9973544974</v>
      </c>
      <c r="K23" s="1">
        <v>3.63</v>
      </c>
      <c r="L23" s="1" t="s">
        <v>58</v>
      </c>
    </row>
    <row r="24" ht="22.5" customHeight="1">
      <c r="A24" s="1" t="s">
        <v>68</v>
      </c>
      <c r="B24" s="1" t="s">
        <v>33</v>
      </c>
      <c r="C24" s="1" t="s">
        <v>14</v>
      </c>
      <c r="D24" s="1" t="s">
        <v>15</v>
      </c>
      <c r="E24" s="1" t="s">
        <v>16</v>
      </c>
      <c r="F24" s="3">
        <v>9.59</v>
      </c>
      <c r="G24" s="1">
        <v>1359.0</v>
      </c>
      <c r="H24" s="1">
        <v>8.0</v>
      </c>
      <c r="I24" s="1">
        <v>1351.0</v>
      </c>
      <c r="J24" s="4">
        <f t="shared" si="1"/>
        <v>0.9941133186</v>
      </c>
      <c r="K24" s="1">
        <v>4.66</v>
      </c>
      <c r="L24" s="1" t="s">
        <v>58</v>
      </c>
    </row>
    <row r="25" ht="22.5" customHeight="1">
      <c r="A25" s="1" t="s">
        <v>69</v>
      </c>
      <c r="B25" s="1" t="s">
        <v>70</v>
      </c>
      <c r="C25" s="1" t="s">
        <v>14</v>
      </c>
      <c r="D25" s="1" t="s">
        <v>15</v>
      </c>
      <c r="E25" s="1" t="s">
        <v>16</v>
      </c>
      <c r="F25" s="3">
        <v>14.3126</v>
      </c>
      <c r="G25" s="1">
        <v>1465.0</v>
      </c>
      <c r="H25" s="1">
        <v>14.0</v>
      </c>
      <c r="I25" s="1">
        <v>1451.0</v>
      </c>
      <c r="J25" s="4">
        <f t="shared" si="1"/>
        <v>0.990443686</v>
      </c>
      <c r="K25" s="1">
        <v>5.69</v>
      </c>
      <c r="L25" s="1" t="s">
        <v>58</v>
      </c>
    </row>
    <row r="26" ht="22.5" customHeight="1">
      <c r="A26" s="1" t="s">
        <v>71</v>
      </c>
      <c r="B26" s="1" t="s">
        <v>39</v>
      </c>
      <c r="C26" s="1" t="s">
        <v>72</v>
      </c>
      <c r="D26" s="1" t="s">
        <v>15</v>
      </c>
      <c r="E26" s="1">
        <v>2.55</v>
      </c>
      <c r="F26" s="3">
        <v>16.1812</v>
      </c>
      <c r="G26" s="1">
        <v>1597.0</v>
      </c>
      <c r="H26" s="1">
        <v>16.0</v>
      </c>
      <c r="I26" s="1">
        <v>1581.0</v>
      </c>
      <c r="J26" s="4">
        <f t="shared" si="1"/>
        <v>0.9899812148</v>
      </c>
      <c r="K26" s="1">
        <v>6.56</v>
      </c>
      <c r="L26" s="1" t="s">
        <v>58</v>
      </c>
    </row>
    <row r="27" ht="22.5" customHeight="1">
      <c r="A27" s="1" t="s">
        <v>73</v>
      </c>
      <c r="B27" s="1" t="s">
        <v>42</v>
      </c>
      <c r="C27" s="1" t="s">
        <v>74</v>
      </c>
      <c r="D27" s="1" t="s">
        <v>15</v>
      </c>
      <c r="E27" s="1">
        <v>7.04</v>
      </c>
      <c r="F27" s="3">
        <v>21.6584</v>
      </c>
      <c r="G27" s="1">
        <v>1845.0</v>
      </c>
      <c r="H27" s="1">
        <v>26.0</v>
      </c>
      <c r="I27" s="1">
        <v>1819.0</v>
      </c>
      <c r="J27" s="4">
        <f t="shared" si="1"/>
        <v>0.9859078591</v>
      </c>
      <c r="K27" s="1">
        <v>7.84</v>
      </c>
      <c r="L27" s="1" t="s">
        <v>58</v>
      </c>
    </row>
    <row r="28" ht="22.5" customHeight="1">
      <c r="A28" s="1" t="s">
        <v>75</v>
      </c>
      <c r="B28" s="1" t="s">
        <v>45</v>
      </c>
      <c r="C28" s="1" t="s">
        <v>76</v>
      </c>
      <c r="D28" s="1" t="s">
        <v>15</v>
      </c>
      <c r="E28" s="1">
        <v>8.54</v>
      </c>
      <c r="F28" s="3">
        <v>23.7801</v>
      </c>
      <c r="G28" s="1">
        <v>2273.0</v>
      </c>
      <c r="H28" s="1">
        <v>4.0</v>
      </c>
      <c r="I28" s="1">
        <v>2269.0</v>
      </c>
      <c r="J28" s="4">
        <f t="shared" si="1"/>
        <v>0.9982402112</v>
      </c>
      <c r="K28" s="1">
        <v>8.7</v>
      </c>
      <c r="L28" s="1" t="s">
        <v>58</v>
      </c>
    </row>
    <row r="29" ht="22.5" customHeight="1">
      <c r="A29" s="1" t="s">
        <v>77</v>
      </c>
      <c r="B29" s="1" t="s">
        <v>48</v>
      </c>
      <c r="C29" s="1" t="s">
        <v>78</v>
      </c>
      <c r="D29" s="1" t="s">
        <v>15</v>
      </c>
      <c r="E29" s="1">
        <v>10.73</v>
      </c>
      <c r="F29" s="3">
        <v>27.0787</v>
      </c>
      <c r="G29" s="1">
        <v>2553.0</v>
      </c>
      <c r="H29" s="1">
        <v>22.0</v>
      </c>
      <c r="I29" s="1">
        <v>2531.0</v>
      </c>
      <c r="J29" s="4">
        <f t="shared" si="1"/>
        <v>0.991382687</v>
      </c>
      <c r="K29" s="1">
        <v>9.53</v>
      </c>
      <c r="L29" s="1" t="s">
        <v>58</v>
      </c>
    </row>
    <row r="30" ht="22.5" customHeight="1">
      <c r="A30" s="1" t="s">
        <v>79</v>
      </c>
      <c r="B30" s="1" t="s">
        <v>51</v>
      </c>
      <c r="C30" s="1" t="s">
        <v>80</v>
      </c>
      <c r="D30" s="1" t="s">
        <v>15</v>
      </c>
      <c r="E30" s="1">
        <v>12.87</v>
      </c>
      <c r="F30" s="3">
        <v>30.6242</v>
      </c>
      <c r="G30" s="1">
        <v>3181.0</v>
      </c>
      <c r="H30" s="1">
        <v>0.0</v>
      </c>
      <c r="I30" s="1">
        <v>3181.0</v>
      </c>
      <c r="J30" s="4">
        <f t="shared" si="1"/>
        <v>1</v>
      </c>
      <c r="K30" s="1">
        <v>10.06</v>
      </c>
      <c r="L30" s="1" t="s">
        <v>58</v>
      </c>
    </row>
    <row r="31" ht="22.5" customHeight="1">
      <c r="A31" s="1" t="s">
        <v>81</v>
      </c>
      <c r="B31" s="1" t="s">
        <v>54</v>
      </c>
      <c r="C31" s="1" t="s">
        <v>82</v>
      </c>
      <c r="D31" s="1" t="s">
        <v>15</v>
      </c>
      <c r="E31" s="1">
        <v>14.5</v>
      </c>
      <c r="F31" s="3">
        <v>33.4941</v>
      </c>
      <c r="G31" s="1">
        <v>3196.0</v>
      </c>
      <c r="H31" s="1">
        <v>0.0</v>
      </c>
      <c r="I31" s="1">
        <v>3196.0</v>
      </c>
      <c r="J31" s="4">
        <f t="shared" si="1"/>
        <v>1</v>
      </c>
      <c r="K31" s="1">
        <v>11.32</v>
      </c>
      <c r="L31" s="1" t="s">
        <v>58</v>
      </c>
    </row>
    <row r="32" ht="22.5" customHeight="1">
      <c r="A32" s="1" t="s">
        <v>83</v>
      </c>
      <c r="B32" s="1" t="s">
        <v>57</v>
      </c>
      <c r="C32" s="1" t="s">
        <v>14</v>
      </c>
      <c r="D32" s="1" t="s">
        <v>15</v>
      </c>
      <c r="E32" s="1" t="s">
        <v>16</v>
      </c>
      <c r="F32" s="3">
        <v>2.6</v>
      </c>
      <c r="G32" s="1">
        <v>247.0</v>
      </c>
      <c r="H32" s="1">
        <v>70.0</v>
      </c>
      <c r="I32" s="1">
        <v>177.0</v>
      </c>
      <c r="J32" s="4">
        <f t="shared" si="1"/>
        <v>0.7165991903</v>
      </c>
      <c r="K32" s="1">
        <v>1.62</v>
      </c>
      <c r="L32" s="1" t="s">
        <v>84</v>
      </c>
    </row>
    <row r="33" ht="22.5" customHeight="1">
      <c r="A33" s="1" t="s">
        <v>85</v>
      </c>
      <c r="B33" s="1" t="s">
        <v>19</v>
      </c>
      <c r="C33" s="1" t="s">
        <v>14</v>
      </c>
      <c r="D33" s="1" t="s">
        <v>15</v>
      </c>
      <c r="E33" s="1" t="s">
        <v>16</v>
      </c>
      <c r="F33" s="3">
        <v>4.11</v>
      </c>
      <c r="G33" s="1">
        <v>428.0</v>
      </c>
      <c r="H33" s="1">
        <v>149.0</v>
      </c>
      <c r="I33" s="1">
        <v>279.0</v>
      </c>
      <c r="J33" s="4">
        <f t="shared" si="1"/>
        <v>0.6518691589</v>
      </c>
      <c r="K33" s="1">
        <v>2.18</v>
      </c>
      <c r="L33" s="1" t="s">
        <v>84</v>
      </c>
    </row>
    <row r="34" ht="22.5" customHeight="1">
      <c r="A34" s="1" t="s">
        <v>86</v>
      </c>
      <c r="B34" s="1" t="s">
        <v>21</v>
      </c>
      <c r="C34" s="1" t="s">
        <v>14</v>
      </c>
      <c r="D34" s="1" t="s">
        <v>15</v>
      </c>
      <c r="E34" s="1" t="s">
        <v>16</v>
      </c>
      <c r="F34" s="3">
        <v>9.78</v>
      </c>
      <c r="G34" s="1">
        <v>1221.0</v>
      </c>
      <c r="H34" s="1">
        <v>127.0</v>
      </c>
      <c r="I34" s="1">
        <v>1094.0</v>
      </c>
      <c r="J34" s="4">
        <f t="shared" si="1"/>
        <v>0.895986896</v>
      </c>
      <c r="K34" s="1">
        <v>3.17</v>
      </c>
      <c r="L34" s="1" t="s">
        <v>87</v>
      </c>
    </row>
    <row r="35" ht="22.5" customHeight="1">
      <c r="A35" s="1" t="s">
        <v>88</v>
      </c>
      <c r="B35" s="1" t="s">
        <v>89</v>
      </c>
      <c r="C35" s="1" t="s">
        <v>14</v>
      </c>
      <c r="D35" s="1" t="s">
        <v>15</v>
      </c>
      <c r="E35" s="1" t="s">
        <v>16</v>
      </c>
      <c r="F35" s="3">
        <v>5.97</v>
      </c>
      <c r="G35" s="1">
        <v>899.0</v>
      </c>
      <c r="H35" s="1">
        <v>192.0</v>
      </c>
      <c r="I35" s="1">
        <v>707.0</v>
      </c>
      <c r="J35" s="4">
        <f t="shared" si="1"/>
        <v>0.786429366</v>
      </c>
      <c r="K35" s="1">
        <v>2.7</v>
      </c>
      <c r="L35" s="1" t="s">
        <v>87</v>
      </c>
    </row>
    <row r="36" ht="22.5" customHeight="1">
      <c r="A36" s="1" t="s">
        <v>90</v>
      </c>
      <c r="B36" s="1" t="s">
        <v>91</v>
      </c>
      <c r="C36" s="1" t="s">
        <v>14</v>
      </c>
      <c r="D36" s="1" t="s">
        <v>15</v>
      </c>
      <c r="E36" s="1" t="s">
        <v>16</v>
      </c>
      <c r="F36" s="3">
        <v>4.57</v>
      </c>
      <c r="G36" s="1">
        <v>736.0</v>
      </c>
      <c r="H36" s="1">
        <v>91.0</v>
      </c>
      <c r="I36" s="1">
        <v>645.0</v>
      </c>
      <c r="J36" s="4">
        <f t="shared" si="1"/>
        <v>0.8763586957</v>
      </c>
      <c r="K36" s="1">
        <v>2.85</v>
      </c>
      <c r="L36" s="1" t="s">
        <v>87</v>
      </c>
    </row>
    <row r="37" ht="22.5" customHeight="1">
      <c r="A37" s="1" t="s">
        <v>92</v>
      </c>
      <c r="B37" s="1" t="s">
        <v>66</v>
      </c>
      <c r="C37" s="1" t="s">
        <v>14</v>
      </c>
      <c r="D37" s="1" t="s">
        <v>15</v>
      </c>
      <c r="E37" s="1" t="s">
        <v>16</v>
      </c>
      <c r="F37" s="3">
        <v>7.51</v>
      </c>
      <c r="G37" s="1">
        <v>618.0</v>
      </c>
      <c r="H37" s="1">
        <v>177.0</v>
      </c>
      <c r="I37" s="1">
        <v>441.0</v>
      </c>
      <c r="J37" s="4">
        <f t="shared" si="1"/>
        <v>0.713592233</v>
      </c>
      <c r="K37" s="1">
        <v>3.8</v>
      </c>
      <c r="L37" s="1" t="s">
        <v>87</v>
      </c>
    </row>
    <row r="38" ht="22.5" customHeight="1">
      <c r="A38" s="1" t="s">
        <v>93</v>
      </c>
      <c r="B38" s="1" t="s">
        <v>30</v>
      </c>
      <c r="C38" s="1" t="s">
        <v>14</v>
      </c>
      <c r="D38" s="1" t="s">
        <v>15</v>
      </c>
      <c r="E38" s="1" t="s">
        <v>16</v>
      </c>
      <c r="F38" s="3">
        <v>12.34</v>
      </c>
      <c r="G38" s="1">
        <v>1081.0</v>
      </c>
      <c r="H38" s="1">
        <v>102.0</v>
      </c>
      <c r="I38" s="1">
        <v>979.0</v>
      </c>
      <c r="J38" s="4">
        <f t="shared" si="1"/>
        <v>0.9056429232</v>
      </c>
      <c r="K38" s="1">
        <v>4.21</v>
      </c>
      <c r="L38" s="1" t="s">
        <v>87</v>
      </c>
    </row>
    <row r="39" ht="22.5" customHeight="1">
      <c r="A39" s="1" t="s">
        <v>94</v>
      </c>
      <c r="B39" s="1" t="s">
        <v>95</v>
      </c>
      <c r="C39" s="1" t="s">
        <v>28</v>
      </c>
      <c r="D39" s="1" t="s">
        <v>15</v>
      </c>
      <c r="E39" s="1">
        <v>1.44</v>
      </c>
      <c r="F39" s="3">
        <v>15.04</v>
      </c>
      <c r="G39" s="1">
        <v>1391.0</v>
      </c>
      <c r="H39" s="1">
        <v>44.0</v>
      </c>
      <c r="I39" s="1">
        <v>1347.0</v>
      </c>
      <c r="J39" s="4">
        <f t="shared" si="1"/>
        <v>0.9683680805</v>
      </c>
      <c r="K39" s="1">
        <v>6.11</v>
      </c>
      <c r="L39" s="1" t="s">
        <v>87</v>
      </c>
    </row>
    <row r="40" ht="22.5" customHeight="1">
      <c r="A40" s="1" t="s">
        <v>96</v>
      </c>
      <c r="B40" s="1" t="s">
        <v>70</v>
      </c>
      <c r="C40" s="1" t="s">
        <v>97</v>
      </c>
      <c r="D40" s="1" t="s">
        <v>15</v>
      </c>
      <c r="E40" s="1">
        <v>2.67</v>
      </c>
      <c r="F40" s="3">
        <v>16.3969</v>
      </c>
      <c r="G40" s="1">
        <v>1362.0</v>
      </c>
      <c r="H40" s="1">
        <v>121.0</v>
      </c>
      <c r="I40" s="1">
        <v>1241.0</v>
      </c>
      <c r="J40" s="4">
        <f t="shared" si="1"/>
        <v>0.9111600587</v>
      </c>
      <c r="K40" s="1">
        <v>6.93</v>
      </c>
      <c r="L40" s="1" t="s">
        <v>87</v>
      </c>
    </row>
    <row r="41" ht="22.5" customHeight="1">
      <c r="A41" s="1" t="s">
        <v>98</v>
      </c>
      <c r="B41" s="1" t="s">
        <v>39</v>
      </c>
      <c r="C41" s="1" t="s">
        <v>99</v>
      </c>
      <c r="D41" s="1" t="s">
        <v>15</v>
      </c>
      <c r="E41" s="1">
        <v>5.74</v>
      </c>
      <c r="F41" s="3">
        <v>19.9296</v>
      </c>
      <c r="G41" s="1">
        <v>1677.0</v>
      </c>
      <c r="H41" s="1">
        <v>13.0</v>
      </c>
      <c r="I41" s="1">
        <v>1664.0</v>
      </c>
      <c r="J41" s="4">
        <f t="shared" si="1"/>
        <v>0.992248062</v>
      </c>
      <c r="K41" s="1">
        <v>7.89</v>
      </c>
      <c r="L41" s="1" t="s">
        <v>87</v>
      </c>
    </row>
    <row r="42" ht="22.5" customHeight="1">
      <c r="A42" s="1" t="s">
        <v>100</v>
      </c>
      <c r="B42" s="1" t="s">
        <v>101</v>
      </c>
      <c r="C42" s="1" t="s">
        <v>76</v>
      </c>
      <c r="D42" s="1" t="s">
        <v>15</v>
      </c>
      <c r="E42" s="1">
        <v>8.64</v>
      </c>
      <c r="F42" s="3">
        <v>23.926</v>
      </c>
      <c r="G42" s="1">
        <v>1708.0</v>
      </c>
      <c r="H42" s="1">
        <v>14.0</v>
      </c>
      <c r="I42" s="1">
        <v>1694.0</v>
      </c>
      <c r="J42" s="4">
        <f t="shared" si="1"/>
        <v>0.9918032787</v>
      </c>
      <c r="K42" s="1">
        <v>8.19</v>
      </c>
      <c r="L42" s="1" t="s">
        <v>87</v>
      </c>
    </row>
    <row r="43" ht="22.5" customHeight="1">
      <c r="A43" s="1" t="s">
        <v>102</v>
      </c>
      <c r="B43" s="1" t="s">
        <v>45</v>
      </c>
      <c r="C43" s="1" t="s">
        <v>103</v>
      </c>
      <c r="D43" s="1" t="s">
        <v>15</v>
      </c>
      <c r="E43" s="1">
        <v>9.87</v>
      </c>
      <c r="F43" s="3">
        <v>25.75</v>
      </c>
      <c r="G43" s="1">
        <v>2165.0</v>
      </c>
      <c r="H43" s="1">
        <v>24.0</v>
      </c>
      <c r="I43" s="1">
        <v>2141.0</v>
      </c>
      <c r="J43" s="4">
        <f t="shared" si="1"/>
        <v>0.9889145497</v>
      </c>
      <c r="K43" s="1">
        <v>8.77</v>
      </c>
      <c r="L43" s="1" t="s">
        <v>87</v>
      </c>
    </row>
    <row r="44" ht="22.5" customHeight="1">
      <c r="A44" s="1" t="s">
        <v>104</v>
      </c>
      <c r="B44" s="1" t="s">
        <v>48</v>
      </c>
      <c r="C44" s="1" t="s">
        <v>105</v>
      </c>
      <c r="D44" s="1" t="s">
        <v>15</v>
      </c>
      <c r="E44" s="1" t="s">
        <v>106</v>
      </c>
      <c r="F44" s="3">
        <v>28.5487</v>
      </c>
      <c r="G44" s="1">
        <v>2926.0</v>
      </c>
      <c r="H44" s="1">
        <v>3.0</v>
      </c>
      <c r="I44" s="1">
        <v>2923.0</v>
      </c>
      <c r="J44" s="4">
        <f t="shared" si="1"/>
        <v>0.9989747095</v>
      </c>
      <c r="K44" s="1" t="s">
        <v>107</v>
      </c>
      <c r="L44" s="1" t="s">
        <v>87</v>
      </c>
    </row>
    <row r="45" ht="22.5" customHeight="1">
      <c r="A45" s="1" t="s">
        <v>108</v>
      </c>
      <c r="B45" s="1" t="s">
        <v>51</v>
      </c>
      <c r="C45" s="1" t="s">
        <v>52</v>
      </c>
      <c r="D45" s="1" t="s">
        <v>15</v>
      </c>
      <c r="E45" s="1">
        <v>12.36</v>
      </c>
      <c r="F45" s="3">
        <v>29.7655</v>
      </c>
      <c r="G45" s="1">
        <v>2904.0</v>
      </c>
      <c r="H45" s="1">
        <v>52.0</v>
      </c>
      <c r="I45" s="1">
        <v>2852.0</v>
      </c>
      <c r="J45" s="4">
        <f t="shared" si="1"/>
        <v>0.9820936639</v>
      </c>
      <c r="K45" s="1">
        <v>10.17</v>
      </c>
      <c r="L45" s="1" t="s">
        <v>87</v>
      </c>
    </row>
    <row r="46" ht="22.5" customHeight="1">
      <c r="A46" s="1" t="s">
        <v>109</v>
      </c>
      <c r="B46" s="1" t="s">
        <v>54</v>
      </c>
      <c r="C46" s="1" t="s">
        <v>110</v>
      </c>
      <c r="D46" s="1" t="s">
        <v>15</v>
      </c>
      <c r="E46" s="1">
        <v>14.83</v>
      </c>
      <c r="F46" s="3">
        <v>34.0926</v>
      </c>
      <c r="G46" s="1">
        <v>3721.0</v>
      </c>
      <c r="H46" s="1">
        <v>51.0</v>
      </c>
      <c r="I46" s="1">
        <v>3670.0</v>
      </c>
      <c r="J46" s="4">
        <f t="shared" si="1"/>
        <v>0.986294007</v>
      </c>
      <c r="K46" s="1">
        <v>11.79</v>
      </c>
      <c r="L46" s="1" t="s">
        <v>87</v>
      </c>
    </row>
    <row r="47" ht="22.5" customHeight="1">
      <c r="A47" s="1" t="s">
        <v>111</v>
      </c>
      <c r="B47" s="1" t="s">
        <v>57</v>
      </c>
      <c r="C47" s="1" t="s">
        <v>14</v>
      </c>
      <c r="D47" s="1" t="s">
        <v>15</v>
      </c>
      <c r="E47" s="1" t="s">
        <v>16</v>
      </c>
      <c r="F47" s="3">
        <v>6.043</v>
      </c>
      <c r="G47" s="1">
        <v>600.0</v>
      </c>
      <c r="H47" s="1">
        <v>302.0</v>
      </c>
      <c r="I47" s="1">
        <v>298.0</v>
      </c>
      <c r="J47" s="4">
        <f t="shared" si="1"/>
        <v>0.4966666667</v>
      </c>
      <c r="K47" s="1">
        <v>2.65</v>
      </c>
      <c r="L47" s="1" t="s">
        <v>112</v>
      </c>
    </row>
    <row r="48" ht="22.5" customHeight="1">
      <c r="A48" s="1" t="s">
        <v>113</v>
      </c>
      <c r="B48" s="1" t="s">
        <v>19</v>
      </c>
      <c r="C48" s="1" t="s">
        <v>14</v>
      </c>
      <c r="D48" s="1" t="s">
        <v>15</v>
      </c>
      <c r="E48" s="1" t="s">
        <v>16</v>
      </c>
      <c r="F48" s="3">
        <v>5.63</v>
      </c>
      <c r="G48" s="1">
        <v>682.0</v>
      </c>
      <c r="H48" s="1">
        <v>289.0</v>
      </c>
      <c r="I48" s="1">
        <v>393.0</v>
      </c>
      <c r="J48" s="4">
        <f t="shared" si="1"/>
        <v>0.5762463343</v>
      </c>
      <c r="K48" s="1">
        <v>2.68</v>
      </c>
      <c r="L48" s="1" t="s">
        <v>112</v>
      </c>
    </row>
    <row r="49" ht="22.5" customHeight="1">
      <c r="A49" s="1" t="s">
        <v>114</v>
      </c>
      <c r="B49" s="1" t="s">
        <v>21</v>
      </c>
      <c r="C49" s="1" t="s">
        <v>14</v>
      </c>
      <c r="D49" s="1" t="s">
        <v>15</v>
      </c>
      <c r="E49" s="1" t="s">
        <v>16</v>
      </c>
      <c r="F49" s="3">
        <v>12.21</v>
      </c>
      <c r="G49" s="1">
        <v>1198.0</v>
      </c>
      <c r="H49" s="1">
        <v>565.0</v>
      </c>
      <c r="I49" s="1">
        <v>633.0</v>
      </c>
      <c r="J49" s="4">
        <f t="shared" si="1"/>
        <v>0.5283806344</v>
      </c>
      <c r="K49" s="1">
        <v>3.61</v>
      </c>
      <c r="L49" s="1" t="s">
        <v>112</v>
      </c>
    </row>
    <row r="50" ht="22.5" customHeight="1">
      <c r="A50" s="1" t="s">
        <v>115</v>
      </c>
      <c r="B50" s="1" t="s">
        <v>23</v>
      </c>
      <c r="C50" s="1" t="s">
        <v>14</v>
      </c>
      <c r="D50" s="1" t="s">
        <v>15</v>
      </c>
      <c r="E50" s="1" t="s">
        <v>16</v>
      </c>
      <c r="F50" s="3">
        <v>13.4</v>
      </c>
      <c r="G50" s="1">
        <v>1350.0</v>
      </c>
      <c r="H50" s="1">
        <v>594.0</v>
      </c>
      <c r="I50" s="1">
        <v>756.0</v>
      </c>
      <c r="J50" s="4">
        <f t="shared" si="1"/>
        <v>0.56</v>
      </c>
      <c r="K50" s="1">
        <v>3.88</v>
      </c>
      <c r="L50" s="1" t="s">
        <v>112</v>
      </c>
    </row>
    <row r="51" ht="22.5" customHeight="1">
      <c r="A51" s="1" t="s">
        <v>116</v>
      </c>
      <c r="B51" s="1" t="s">
        <v>25</v>
      </c>
      <c r="C51" s="1" t="s">
        <v>117</v>
      </c>
      <c r="D51" s="1" t="s">
        <v>15</v>
      </c>
      <c r="E51" s="1">
        <v>2.16</v>
      </c>
      <c r="F51" s="3">
        <v>15.7665</v>
      </c>
      <c r="G51" s="1">
        <v>1518.0</v>
      </c>
      <c r="H51" s="1">
        <v>312.0</v>
      </c>
      <c r="I51" s="1">
        <v>1206.0</v>
      </c>
      <c r="J51" s="4">
        <f t="shared" si="1"/>
        <v>0.7944664032</v>
      </c>
      <c r="K51" s="1">
        <v>4.72</v>
      </c>
      <c r="L51" s="1" t="s">
        <v>112</v>
      </c>
    </row>
    <row r="52" ht="22.5" customHeight="1">
      <c r="A52" s="1" t="s">
        <v>118</v>
      </c>
      <c r="B52" s="1" t="s">
        <v>66</v>
      </c>
      <c r="C52" s="1" t="s">
        <v>72</v>
      </c>
      <c r="D52" s="1" t="s">
        <v>15</v>
      </c>
      <c r="E52" s="1">
        <v>2.65</v>
      </c>
      <c r="F52" s="3">
        <v>16.2793</v>
      </c>
      <c r="G52" s="1">
        <v>2695.0</v>
      </c>
      <c r="H52" s="1">
        <v>696.0</v>
      </c>
      <c r="I52" s="1">
        <v>2000.0</v>
      </c>
      <c r="J52" s="4">
        <f t="shared" si="1"/>
        <v>0.7421150278</v>
      </c>
      <c r="K52" s="1">
        <v>5.03</v>
      </c>
      <c r="L52" s="1" t="s">
        <v>112</v>
      </c>
    </row>
    <row r="53" ht="22.5" customHeight="1">
      <c r="A53" s="1" t="s">
        <v>119</v>
      </c>
      <c r="B53" s="1" t="s">
        <v>120</v>
      </c>
      <c r="C53" s="1" t="s">
        <v>99</v>
      </c>
      <c r="D53" s="1" t="s">
        <v>15</v>
      </c>
      <c r="E53" s="1">
        <v>5.87</v>
      </c>
      <c r="F53" s="3">
        <v>20.08</v>
      </c>
      <c r="G53" s="1">
        <v>1902.0</v>
      </c>
      <c r="H53" s="1">
        <v>316.0</v>
      </c>
      <c r="I53" s="1">
        <v>1586.0</v>
      </c>
      <c r="J53" s="4">
        <f t="shared" si="1"/>
        <v>0.8338590957</v>
      </c>
      <c r="K53" s="1">
        <v>5.33</v>
      </c>
      <c r="L53" s="1" t="s">
        <v>112</v>
      </c>
    </row>
    <row r="54" ht="22.5" customHeight="1">
      <c r="A54" s="1" t="s">
        <v>121</v>
      </c>
      <c r="B54" s="1" t="s">
        <v>33</v>
      </c>
      <c r="C54" s="1" t="s">
        <v>122</v>
      </c>
      <c r="D54" s="1" t="s">
        <v>15</v>
      </c>
      <c r="E54" s="1">
        <v>6.28</v>
      </c>
      <c r="F54" s="3">
        <v>20.6333</v>
      </c>
      <c r="G54" s="1">
        <v>2093.0</v>
      </c>
      <c r="H54" s="1">
        <v>711.0</v>
      </c>
      <c r="I54" s="1">
        <v>1382.0</v>
      </c>
      <c r="J54" s="4">
        <f t="shared" si="1"/>
        <v>0.6602962255</v>
      </c>
      <c r="K54" s="1">
        <v>6.49</v>
      </c>
      <c r="L54" s="1" t="s">
        <v>112</v>
      </c>
    </row>
    <row r="55" ht="22.5" customHeight="1">
      <c r="A55" s="1" t="s">
        <v>123</v>
      </c>
      <c r="B55" s="1" t="s">
        <v>70</v>
      </c>
      <c r="C55" s="1" t="s">
        <v>74</v>
      </c>
      <c r="D55" s="1" t="s">
        <v>15</v>
      </c>
      <c r="E55" s="1">
        <v>7.18</v>
      </c>
      <c r="F55" s="3">
        <v>21.8489</v>
      </c>
      <c r="G55" s="1">
        <v>2136.0</v>
      </c>
      <c r="H55" s="1">
        <v>634.0</v>
      </c>
      <c r="I55" s="1">
        <v>1502.0</v>
      </c>
      <c r="J55" s="4">
        <f t="shared" si="1"/>
        <v>0.7031835206</v>
      </c>
      <c r="K55" s="1">
        <v>6.91</v>
      </c>
      <c r="L55" s="1" t="s">
        <v>112</v>
      </c>
    </row>
    <row r="56" ht="22.5" customHeight="1">
      <c r="A56" s="1" t="s">
        <v>124</v>
      </c>
      <c r="B56" s="1" t="s">
        <v>125</v>
      </c>
      <c r="C56" s="1" t="s">
        <v>122</v>
      </c>
      <c r="D56" s="1" t="s">
        <v>15</v>
      </c>
      <c r="E56" s="1">
        <v>6.28</v>
      </c>
      <c r="F56" s="3">
        <v>20.6267</v>
      </c>
      <c r="G56" s="1">
        <v>2159.0</v>
      </c>
      <c r="H56" s="1">
        <v>105.0</v>
      </c>
      <c r="I56" s="1">
        <v>2054.0</v>
      </c>
      <c r="J56" s="4">
        <f t="shared" si="1"/>
        <v>0.9513663733</v>
      </c>
      <c r="K56" s="1">
        <v>6.48</v>
      </c>
      <c r="L56" s="1" t="s">
        <v>112</v>
      </c>
    </row>
    <row r="57" ht="22.5" customHeight="1">
      <c r="A57" s="1" t="s">
        <v>126</v>
      </c>
      <c r="B57" s="1" t="s">
        <v>42</v>
      </c>
      <c r="C57" s="1" t="s">
        <v>127</v>
      </c>
      <c r="D57" s="1" t="s">
        <v>15</v>
      </c>
      <c r="E57" s="1">
        <v>8.88</v>
      </c>
      <c r="F57" s="3">
        <v>24.2801</v>
      </c>
      <c r="G57" s="1">
        <v>2496.0</v>
      </c>
      <c r="H57" s="1">
        <v>180.0</v>
      </c>
      <c r="I57" s="1">
        <v>2316.0</v>
      </c>
      <c r="J57" s="4">
        <f t="shared" si="1"/>
        <v>0.9278846154</v>
      </c>
      <c r="K57" s="1">
        <v>7.33</v>
      </c>
      <c r="L57" s="1" t="s">
        <v>112</v>
      </c>
    </row>
    <row r="58" ht="22.5" customHeight="1">
      <c r="A58" s="1" t="s">
        <v>128</v>
      </c>
      <c r="B58" s="1" t="s">
        <v>45</v>
      </c>
      <c r="C58" s="1" t="s">
        <v>129</v>
      </c>
      <c r="D58" s="1" t="s">
        <v>15</v>
      </c>
      <c r="E58" s="1">
        <v>10.5</v>
      </c>
      <c r="F58" s="3">
        <v>26.7194</v>
      </c>
      <c r="G58" s="1">
        <v>2326.0</v>
      </c>
      <c r="H58" s="1">
        <v>147.0</v>
      </c>
      <c r="I58" s="1">
        <v>2179.0</v>
      </c>
      <c r="J58" s="4">
        <f t="shared" si="1"/>
        <v>0.9368013758</v>
      </c>
      <c r="K58" s="1">
        <v>8.52</v>
      </c>
      <c r="L58" s="1" t="s">
        <v>112</v>
      </c>
    </row>
    <row r="59" ht="22.5" customHeight="1">
      <c r="A59" s="1" t="s">
        <v>130</v>
      </c>
      <c r="B59" s="1" t="s">
        <v>48</v>
      </c>
      <c r="C59" s="1" t="s">
        <v>131</v>
      </c>
      <c r="D59" s="1" t="s">
        <v>15</v>
      </c>
      <c r="E59" s="1">
        <v>12.11</v>
      </c>
      <c r="F59" s="3">
        <v>29.3406</v>
      </c>
      <c r="G59" s="1">
        <v>2472.0</v>
      </c>
      <c r="H59" s="1">
        <v>29.0</v>
      </c>
      <c r="I59" s="1">
        <v>2443.0</v>
      </c>
      <c r="J59" s="4">
        <f t="shared" si="1"/>
        <v>0.9882686084</v>
      </c>
      <c r="K59" s="1">
        <v>8.27</v>
      </c>
      <c r="L59" s="1" t="s">
        <v>112</v>
      </c>
    </row>
    <row r="60" ht="22.5" customHeight="1">
      <c r="A60" s="1" t="s">
        <v>132</v>
      </c>
      <c r="B60" s="1" t="s">
        <v>51</v>
      </c>
      <c r="C60" s="1" t="s">
        <v>133</v>
      </c>
      <c r="D60" s="1" t="s">
        <v>15</v>
      </c>
      <c r="E60" s="1">
        <v>13.54</v>
      </c>
      <c r="F60" s="3">
        <v>31.8033</v>
      </c>
      <c r="G60" s="1">
        <v>3025.0</v>
      </c>
      <c r="H60" s="1">
        <v>132.0</v>
      </c>
      <c r="I60" s="1">
        <v>2893.0</v>
      </c>
      <c r="J60" s="4">
        <f t="shared" si="1"/>
        <v>0.9563636364</v>
      </c>
      <c r="K60" s="1">
        <v>10.07</v>
      </c>
      <c r="L60" s="1" t="s">
        <v>112</v>
      </c>
    </row>
    <row r="61" ht="22.5" customHeight="1">
      <c r="A61" s="1" t="s">
        <v>134</v>
      </c>
      <c r="B61" s="1" t="s">
        <v>54</v>
      </c>
      <c r="C61" s="1" t="s">
        <v>135</v>
      </c>
      <c r="D61" s="1" t="s">
        <v>15</v>
      </c>
      <c r="E61" s="1" t="s">
        <v>16</v>
      </c>
      <c r="F61" s="3">
        <v>34.5765</v>
      </c>
      <c r="G61" s="1">
        <v>3454.0</v>
      </c>
      <c r="H61" s="1">
        <v>583.0</v>
      </c>
      <c r="I61" s="1">
        <v>2871.0</v>
      </c>
      <c r="J61" s="4">
        <f t="shared" si="1"/>
        <v>0.8312101911</v>
      </c>
      <c r="K61" s="1">
        <v>11.76</v>
      </c>
      <c r="L61" s="1" t="s">
        <v>112</v>
      </c>
    </row>
    <row r="62">
      <c r="A62" s="5"/>
      <c r="B62" s="5"/>
      <c r="C62" s="5"/>
      <c r="D62" s="5"/>
      <c r="E62" s="5"/>
      <c r="F62" s="6"/>
      <c r="G62" s="5"/>
      <c r="H62" s="5"/>
      <c r="I62" s="5"/>
      <c r="J62" s="5"/>
      <c r="K62" s="5"/>
      <c r="L62" s="5"/>
    </row>
    <row r="63">
      <c r="A63" s="5"/>
      <c r="B63" s="5"/>
      <c r="C63" s="5"/>
      <c r="D63" s="5"/>
      <c r="E63" s="5"/>
      <c r="F63" s="6"/>
      <c r="G63" s="5"/>
      <c r="H63" s="5"/>
      <c r="I63" s="5"/>
      <c r="J63" s="5"/>
      <c r="K63" s="5"/>
      <c r="L63" s="5"/>
    </row>
    <row r="64">
      <c r="A64" s="5"/>
      <c r="B64" s="5"/>
      <c r="C64" s="5"/>
      <c r="D64" s="5"/>
      <c r="E64" s="5"/>
      <c r="F64" s="6"/>
      <c r="G64" s="5"/>
      <c r="H64" s="5"/>
      <c r="I64" s="5"/>
      <c r="J64" s="5"/>
      <c r="K64" s="5"/>
      <c r="L64" s="5"/>
    </row>
    <row r="65">
      <c r="A65" s="5"/>
      <c r="B65" s="5"/>
      <c r="C65" s="5"/>
      <c r="D65" s="5"/>
      <c r="E65" s="5"/>
      <c r="F65" s="6"/>
      <c r="G65" s="5"/>
      <c r="H65" s="5"/>
      <c r="I65" s="5"/>
      <c r="J65" s="5"/>
      <c r="K65" s="5"/>
      <c r="L65" s="5"/>
    </row>
    <row r="66">
      <c r="A66" s="5"/>
      <c r="B66" s="5"/>
      <c r="C66" s="5"/>
      <c r="D66" s="5"/>
      <c r="E66" s="5"/>
      <c r="F66" s="6"/>
      <c r="G66" s="5"/>
      <c r="H66" s="5"/>
      <c r="I66" s="5"/>
      <c r="J66" s="5"/>
      <c r="K66" s="5"/>
      <c r="L66" s="5"/>
    </row>
    <row r="67">
      <c r="A67" s="5"/>
      <c r="B67" s="5"/>
      <c r="C67" s="5"/>
      <c r="D67" s="5"/>
      <c r="E67" s="5"/>
      <c r="F67" s="6"/>
      <c r="G67" s="5"/>
      <c r="H67" s="5"/>
      <c r="I67" s="5"/>
      <c r="J67" s="5"/>
      <c r="K67" s="5"/>
      <c r="L67" s="5"/>
    </row>
    <row r="68">
      <c r="A68" s="5"/>
      <c r="B68" s="5"/>
      <c r="C68" s="5"/>
      <c r="D68" s="5"/>
      <c r="E68" s="5"/>
      <c r="F68" s="6"/>
      <c r="G68" s="5"/>
      <c r="H68" s="5"/>
      <c r="I68" s="5"/>
      <c r="J68" s="5"/>
      <c r="K68" s="5"/>
      <c r="L68" s="5"/>
    </row>
    <row r="69">
      <c r="A69" s="5"/>
      <c r="B69" s="5"/>
      <c r="C69" s="5"/>
      <c r="D69" s="5"/>
      <c r="E69" s="5"/>
      <c r="F69" s="6"/>
      <c r="G69" s="5"/>
      <c r="H69" s="5"/>
      <c r="I69" s="5"/>
      <c r="J69" s="5"/>
      <c r="K69" s="5"/>
      <c r="L69" s="5"/>
    </row>
    <row r="70">
      <c r="A70" s="5"/>
      <c r="B70" s="5"/>
      <c r="C70" s="5"/>
      <c r="D70" s="5"/>
      <c r="E70" s="5"/>
      <c r="F70" s="6"/>
      <c r="G70" s="5"/>
      <c r="H70" s="5"/>
      <c r="I70" s="5"/>
      <c r="J70" s="5"/>
      <c r="K70" s="5"/>
      <c r="L70" s="5"/>
    </row>
    <row r="71">
      <c r="A71" s="5"/>
      <c r="B71" s="5"/>
      <c r="C71" s="5"/>
      <c r="D71" s="5"/>
      <c r="E71" s="5"/>
      <c r="F71" s="6"/>
      <c r="G71" s="5"/>
      <c r="H71" s="5"/>
      <c r="I71" s="5"/>
      <c r="J71" s="5"/>
      <c r="K71" s="5"/>
      <c r="L71" s="5"/>
    </row>
    <row r="72">
      <c r="A72" s="5"/>
      <c r="B72" s="5"/>
      <c r="C72" s="5"/>
      <c r="D72" s="5"/>
      <c r="E72" s="5"/>
      <c r="F72" s="6"/>
      <c r="G72" s="5"/>
      <c r="H72" s="5"/>
      <c r="I72" s="5"/>
      <c r="J72" s="5"/>
      <c r="K72" s="5"/>
      <c r="L72" s="5"/>
    </row>
    <row r="73">
      <c r="A73" s="5"/>
      <c r="B73" s="5"/>
      <c r="C73" s="5"/>
      <c r="D73" s="5"/>
      <c r="E73" s="5"/>
      <c r="F73" s="6"/>
      <c r="G73" s="5"/>
      <c r="H73" s="5"/>
      <c r="I73" s="5"/>
      <c r="J73" s="5"/>
      <c r="K73" s="5"/>
      <c r="L73" s="5"/>
    </row>
    <row r="74">
      <c r="A74" s="5"/>
      <c r="B74" s="5"/>
      <c r="C74" s="5"/>
      <c r="D74" s="5"/>
      <c r="E74" s="5"/>
      <c r="F74" s="6"/>
      <c r="G74" s="5"/>
      <c r="H74" s="5"/>
      <c r="I74" s="5"/>
      <c r="J74" s="5"/>
      <c r="K74" s="5"/>
      <c r="L74" s="5"/>
    </row>
    <row r="75">
      <c r="A75" s="5"/>
      <c r="B75" s="5"/>
      <c r="C75" s="5"/>
      <c r="D75" s="5"/>
      <c r="E75" s="5"/>
      <c r="F75" s="6"/>
      <c r="G75" s="5"/>
      <c r="H75" s="5"/>
      <c r="I75" s="5"/>
      <c r="J75" s="5"/>
      <c r="K75" s="5"/>
      <c r="L75" s="5"/>
    </row>
    <row r="76">
      <c r="A76" s="5"/>
      <c r="B76" s="5"/>
      <c r="C76" s="5"/>
      <c r="D76" s="5"/>
      <c r="E76" s="5"/>
      <c r="F76" s="6"/>
      <c r="G76" s="5"/>
      <c r="H76" s="5"/>
      <c r="I76" s="5"/>
      <c r="J76" s="5"/>
      <c r="K76" s="5"/>
      <c r="L76" s="5"/>
    </row>
    <row r="77">
      <c r="A77" s="5"/>
      <c r="B77" s="5"/>
      <c r="C77" s="5"/>
      <c r="D77" s="5"/>
      <c r="E77" s="5"/>
      <c r="F77" s="6"/>
      <c r="G77" s="5"/>
      <c r="H77" s="5"/>
      <c r="I77" s="5"/>
      <c r="J77" s="5"/>
      <c r="K77" s="5"/>
      <c r="L77" s="5"/>
    </row>
    <row r="78">
      <c r="A78" s="5"/>
      <c r="B78" s="5"/>
      <c r="C78" s="5"/>
      <c r="D78" s="5"/>
      <c r="E78" s="5"/>
      <c r="F78" s="6"/>
      <c r="G78" s="5"/>
      <c r="H78" s="5"/>
      <c r="I78" s="5"/>
      <c r="J78" s="5"/>
      <c r="K78" s="5"/>
      <c r="L78" s="5"/>
    </row>
    <row r="79">
      <c r="A79" s="5"/>
      <c r="B79" s="5"/>
      <c r="C79" s="5"/>
      <c r="D79" s="5"/>
      <c r="E79" s="5"/>
      <c r="F79" s="6"/>
      <c r="G79" s="5"/>
      <c r="H79" s="5"/>
      <c r="I79" s="5"/>
      <c r="J79" s="5"/>
      <c r="K79" s="5"/>
      <c r="L79" s="5"/>
    </row>
    <row r="80">
      <c r="A80" s="5"/>
      <c r="B80" s="5"/>
      <c r="C80" s="5"/>
      <c r="D80" s="5"/>
      <c r="E80" s="5"/>
      <c r="F80" s="6"/>
      <c r="G80" s="5"/>
      <c r="H80" s="5"/>
      <c r="I80" s="5"/>
      <c r="J80" s="5"/>
      <c r="K80" s="5"/>
      <c r="L80" s="5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  <row r="1001">
      <c r="F1001" s="7"/>
    </row>
  </sheetData>
  <dataValidations>
    <dataValidation type="custom" allowBlank="1" showDropDown="1" sqref="F2:F6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