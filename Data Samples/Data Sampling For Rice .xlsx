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<sst xmlns="http://schemas.openxmlformats.org/spreadsheetml/2006/main" count="329" uniqueCount="144">
  <si>
    <t>Nama Beatmap</t>
  </si>
  <si>
    <t>Supposed Dan Level</t>
  </si>
  <si>
    <t xml:space="preserve">Predicted Dan Level </t>
  </si>
  <si>
    <t>Dan Type</t>
  </si>
  <si>
    <t>Rating (Non SR)</t>
  </si>
  <si>
    <t xml:space="preserve">SR </t>
  </si>
  <si>
    <t>Object Count</t>
  </si>
  <si>
    <t>Notes</t>
  </si>
  <si>
    <t>Long Notes</t>
  </si>
  <si>
    <t>Long Note Ratio To Object Counts</t>
  </si>
  <si>
    <t>Local SR (osu! mania)</t>
  </si>
  <si>
    <t>Pattern Type</t>
  </si>
  <si>
    <t>Aqours Yuki Wa Doko ni?</t>
  </si>
  <si>
    <t>0th Dan (Regular)</t>
  </si>
  <si>
    <t>6th Dan Mid</t>
  </si>
  <si>
    <t>Regular</t>
  </si>
  <si>
    <t>Stream</t>
  </si>
  <si>
    <t>Kozato - Tsuki - Yue</t>
  </si>
  <si>
    <t>1st Dan (Regular)</t>
  </si>
  <si>
    <t>8th Dan Low</t>
  </si>
  <si>
    <t>Gypsy Tronic</t>
  </si>
  <si>
    <t>2nd Dan (Regular)</t>
  </si>
  <si>
    <t>8th Dan Mid</t>
  </si>
  <si>
    <t>Chevron</t>
  </si>
  <si>
    <t>3rd Dan (Regular)</t>
  </si>
  <si>
    <t>8th Dan High</t>
  </si>
  <si>
    <t>Electro Peaceful</t>
  </si>
  <si>
    <t xml:space="preserve">4th Dan (Regular) </t>
  </si>
  <si>
    <t>10th Dan Low</t>
  </si>
  <si>
    <t xml:space="preserve">Blue Planet </t>
  </si>
  <si>
    <t>5th Dan (Regular)</t>
  </si>
  <si>
    <t>10th Dan High</t>
  </si>
  <si>
    <t>Imperishable Night 2006</t>
  </si>
  <si>
    <t>6th Dan (Regular)</t>
  </si>
  <si>
    <t>Gamma High</t>
  </si>
  <si>
    <t>Out of The Blue</t>
  </si>
  <si>
    <t>7th Dan (Regular)</t>
  </si>
  <si>
    <t>Azimuth Low</t>
  </si>
  <si>
    <t>Chroma-Tiny Tales Continue</t>
  </si>
  <si>
    <t>8th Dan (Regular)</t>
  </si>
  <si>
    <t>Azimuth High</t>
  </si>
  <si>
    <t>Hellblinde- The Solace of Oblivion</t>
  </si>
  <si>
    <t>9th Dan (Regular)</t>
  </si>
  <si>
    <t>Zenith Mid</t>
  </si>
  <si>
    <t>Getty Vs Dj DiA Fox4 -Raize</t>
  </si>
  <si>
    <t>10th Dan (Regular)</t>
  </si>
  <si>
    <t>Stellium Mid</t>
  </si>
  <si>
    <t>Leaf- Paraclete</t>
  </si>
  <si>
    <t>Gamma</t>
  </si>
  <si>
    <t>????</t>
  </si>
  <si>
    <t>N/A</t>
  </si>
  <si>
    <t>Silentroom- FInixe</t>
  </si>
  <si>
    <t>Azimuth</t>
  </si>
  <si>
    <t>8,38</t>
  </si>
  <si>
    <t>Frums - We Want To Run</t>
  </si>
  <si>
    <t>Zenith</t>
  </si>
  <si>
    <t>TamaDo - Triumphal Return</t>
  </si>
  <si>
    <t>Stellium</t>
  </si>
  <si>
    <t>S-C-U Qrispy Joybox- Anemone</t>
  </si>
  <si>
    <t>6th Dan Low</t>
  </si>
  <si>
    <t>Jack</t>
  </si>
  <si>
    <t>dai-dir</t>
  </si>
  <si>
    <t>VA- East West Wobble</t>
  </si>
  <si>
    <t>7th Dan High</t>
  </si>
  <si>
    <t>Azu- Haryu</t>
  </si>
  <si>
    <t>9th Dan Low</t>
  </si>
  <si>
    <t>4,8</t>
  </si>
  <si>
    <t>TobyFox- Megalovania</t>
  </si>
  <si>
    <t>4th Dan (Regular)</t>
  </si>
  <si>
    <t>9th Dan High</t>
  </si>
  <si>
    <t>Kaneko Chiharu- AciculignosA</t>
  </si>
  <si>
    <t>9,89</t>
  </si>
  <si>
    <t>Renard - Gabberse Town</t>
  </si>
  <si>
    <t>Void - Sudden Romance</t>
  </si>
  <si>
    <t>Gamma Mid</t>
  </si>
  <si>
    <t>22,08</t>
  </si>
  <si>
    <t>Thaehan - Overworld</t>
  </si>
  <si>
    <t>scytheleg - gazer</t>
  </si>
  <si>
    <t>Samba Master - SAMBA LAND</t>
  </si>
  <si>
    <t>SHK - Identity Part 4</t>
  </si>
  <si>
    <t>Stellium Low</t>
  </si>
  <si>
    <t>Manabu Namiki - TENSHI</t>
  </si>
  <si>
    <t>Stellium High</t>
  </si>
  <si>
    <t>ROKINA - Icicle Stinger</t>
  </si>
  <si>
    <t>-45- Exile</t>
  </si>
  <si>
    <t>The Flashbulb - WYETWM</t>
  </si>
  <si>
    <t>0th Dan (regular)</t>
  </si>
  <si>
    <t>5th Dan High</t>
  </si>
  <si>
    <t>Tech</t>
  </si>
  <si>
    <t>.357 Magnun</t>
  </si>
  <si>
    <t xml:space="preserve">1st Dan (Regular) </t>
  </si>
  <si>
    <t>7th Dan Mid</t>
  </si>
  <si>
    <t>AT&amp;HU - Schur's Theorem</t>
  </si>
  <si>
    <t>2nd Dan (Reguler)</t>
  </si>
  <si>
    <t>3rd Dan (Reguler)</t>
  </si>
  <si>
    <t>9th Dan Mid</t>
  </si>
  <si>
    <t>My Son, THe Leopard</t>
  </si>
  <si>
    <t>10th Dan Mid</t>
  </si>
  <si>
    <t>The Flashbulb - Passage D</t>
  </si>
  <si>
    <t xml:space="preserve">5th Dan (Regular) </t>
  </si>
  <si>
    <t>The Algorithm - Isometry</t>
  </si>
  <si>
    <t xml:space="preserve">6th Dan (Regular) </t>
  </si>
  <si>
    <t>Incinerate - Rengoku - Purgatorium</t>
  </si>
  <si>
    <t>Camellia - Bangin' Burst</t>
  </si>
  <si>
    <t>Stellabee- Ubiquity</t>
  </si>
  <si>
    <t xml:space="preserve">9th Dan (Regular) </t>
  </si>
  <si>
    <t>Azimuth Mid</t>
  </si>
  <si>
    <t>Puru - Toki</t>
  </si>
  <si>
    <t xml:space="preserve">10th Dan (Reguler) </t>
  </si>
  <si>
    <t>U1 High Speed - Egoism 440</t>
  </si>
  <si>
    <t>28..57</t>
  </si>
  <si>
    <t>goreshit - Najimi Breakers</t>
  </si>
  <si>
    <t>LunaticSounds - Rinjuu</t>
  </si>
  <si>
    <t>Aquellex - Wanderflux</t>
  </si>
  <si>
    <t>Cres - EndTime</t>
  </si>
  <si>
    <t>0th Dan</t>
  </si>
  <si>
    <t>7th Dan Low</t>
  </si>
  <si>
    <t>Speed</t>
  </si>
  <si>
    <t>Xi - Aragami</t>
  </si>
  <si>
    <t>1st Dan</t>
  </si>
  <si>
    <t>Xi - Hesperides</t>
  </si>
  <si>
    <t>2nd Dan</t>
  </si>
  <si>
    <t>Sakuzyo - Altale</t>
  </si>
  <si>
    <t>3rd Dan</t>
  </si>
  <si>
    <t>Colorful Sounds Port - ETERNAL DRAIN</t>
  </si>
  <si>
    <t xml:space="preserve">4th Dan </t>
  </si>
  <si>
    <t>antiPLUR - Speed of Link</t>
  </si>
  <si>
    <t>5th Dan</t>
  </si>
  <si>
    <t>-45- 44river</t>
  </si>
  <si>
    <t xml:space="preserve">6th Dan </t>
  </si>
  <si>
    <t>Katy B - Witches Brew</t>
  </si>
  <si>
    <t xml:space="preserve">7th Dan </t>
  </si>
  <si>
    <t>Komiya Mao - Yozakura</t>
  </si>
  <si>
    <t xml:space="preserve">8th Dan </t>
  </si>
  <si>
    <t>Zenith Low</t>
  </si>
  <si>
    <t>ueotan - Mario Paint</t>
  </si>
  <si>
    <t>9th Dan</t>
  </si>
  <si>
    <t>beta - Blue White Crazystars</t>
  </si>
  <si>
    <t>10th Dan</t>
  </si>
  <si>
    <t>Zenith High</t>
  </si>
  <si>
    <t>Silvia - Vertex Gamma</t>
  </si>
  <si>
    <t>Erahamonika remixed by kors K - Der Wald</t>
  </si>
  <si>
    <t>DJ TECHNORCH - Nijuu</t>
  </si>
  <si>
    <t>onoken - P8107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</si>
</sst>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4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1.0"/>
    <col customWidth="1" min="3" max="4" width="18.88"/>
    <col customWidth="1" min="5" max="6" width="18.0"/>
    <col customWidth="1" min="11" max="11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>
        <v>6.58</v>
      </c>
      <c r="F2" s="4">
        <v>12.152</v>
      </c>
      <c r="G2" s="3">
        <v>1223.0</v>
      </c>
      <c r="H2" s="3">
        <v>1223.0</v>
      </c>
      <c r="I2" s="3">
        <v>0.0</v>
      </c>
      <c r="J2" s="5">
        <f t="shared" ref="J2:J16" si="1">IFERROR(I2/G2,0)</f>
        <v>0</v>
      </c>
      <c r="K2" s="3">
        <v>3.92</v>
      </c>
      <c r="L2" s="3" t="s">
        <v>16</v>
      </c>
    </row>
    <row r="3">
      <c r="A3" s="3" t="s">
        <v>17</v>
      </c>
      <c r="B3" s="3" t="s">
        <v>18</v>
      </c>
      <c r="C3" s="3" t="s">
        <v>19</v>
      </c>
      <c r="D3" s="3" t="s">
        <v>15</v>
      </c>
      <c r="E3" s="3">
        <v>8.16</v>
      </c>
      <c r="F3" s="4">
        <v>15.31</v>
      </c>
      <c r="G3" s="3">
        <v>1673.0</v>
      </c>
      <c r="H3" s="3">
        <v>1673.0</v>
      </c>
      <c r="I3" s="3">
        <v>0.0</v>
      </c>
      <c r="J3" s="5">
        <f t="shared" si="1"/>
        <v>0</v>
      </c>
      <c r="K3" s="3">
        <v>3.92</v>
      </c>
      <c r="L3" s="3" t="s">
        <v>16</v>
      </c>
    </row>
    <row r="4">
      <c r="A4" s="3" t="s">
        <v>20</v>
      </c>
      <c r="B4" s="3" t="s">
        <v>21</v>
      </c>
      <c r="C4" s="3" t="s">
        <v>22</v>
      </c>
      <c r="D4" s="3" t="s">
        <v>15</v>
      </c>
      <c r="E4" s="3">
        <v>8.51</v>
      </c>
      <c r="F4" s="4">
        <v>16.031</v>
      </c>
      <c r="G4" s="3">
        <v>2154.0</v>
      </c>
      <c r="H4" s="3">
        <v>2080.0</v>
      </c>
      <c r="I4" s="3">
        <v>74.0</v>
      </c>
      <c r="J4" s="5">
        <f t="shared" si="1"/>
        <v>0.03435468895</v>
      </c>
      <c r="K4" s="3">
        <v>4.46</v>
      </c>
      <c r="L4" s="3" t="s">
        <v>16</v>
      </c>
    </row>
    <row r="5">
      <c r="A5" s="3" t="s">
        <v>23</v>
      </c>
      <c r="B5" s="3" t="s">
        <v>24</v>
      </c>
      <c r="C5" s="3" t="s">
        <v>25</v>
      </c>
      <c r="D5" s="3" t="s">
        <v>15</v>
      </c>
      <c r="E5" s="3">
        <v>8.84</v>
      </c>
      <c r="F5" s="4">
        <v>16.671</v>
      </c>
      <c r="G5" s="3">
        <v>1982.0</v>
      </c>
      <c r="H5" s="3">
        <v>1978.0</v>
      </c>
      <c r="I5" s="3">
        <v>4.0</v>
      </c>
      <c r="J5" s="5">
        <f t="shared" si="1"/>
        <v>0.002018163471</v>
      </c>
      <c r="K5" s="3">
        <v>5.17</v>
      </c>
      <c r="L5" s="3" t="s">
        <v>16</v>
      </c>
    </row>
    <row r="6">
      <c r="A6" s="3" t="s">
        <v>26</v>
      </c>
      <c r="B6" s="3" t="s">
        <v>27</v>
      </c>
      <c r="C6" s="3" t="s">
        <v>28</v>
      </c>
      <c r="D6" s="3" t="s">
        <v>15</v>
      </c>
      <c r="E6" s="3">
        <v>10.02</v>
      </c>
      <c r="F6" s="4">
        <v>19.05</v>
      </c>
      <c r="G6" s="3">
        <v>2264.0</v>
      </c>
      <c r="H6" s="3">
        <v>2264.0</v>
      </c>
      <c r="I6" s="3">
        <v>0.0</v>
      </c>
      <c r="J6" s="5">
        <f t="shared" si="1"/>
        <v>0</v>
      </c>
      <c r="K6" s="3">
        <v>5.22</v>
      </c>
      <c r="L6" s="3" t="s">
        <v>16</v>
      </c>
    </row>
    <row r="7">
      <c r="A7" s="3" t="s">
        <v>29</v>
      </c>
      <c r="B7" s="3" t="s">
        <v>30</v>
      </c>
      <c r="C7" s="3" t="s">
        <v>31</v>
      </c>
      <c r="D7" s="3" t="s">
        <v>15</v>
      </c>
      <c r="E7" s="3">
        <v>10.67</v>
      </c>
      <c r="F7" s="4">
        <v>20.34</v>
      </c>
      <c r="G7" s="3">
        <v>2391.0</v>
      </c>
      <c r="H7" s="3">
        <v>2391.0</v>
      </c>
      <c r="I7" s="3">
        <v>0.0</v>
      </c>
      <c r="J7" s="5">
        <f t="shared" si="1"/>
        <v>0</v>
      </c>
      <c r="K7" s="3">
        <v>5.42</v>
      </c>
      <c r="L7" s="3" t="s">
        <v>16</v>
      </c>
    </row>
    <row r="8">
      <c r="A8" s="3" t="s">
        <v>32</v>
      </c>
      <c r="B8" s="3" t="s">
        <v>33</v>
      </c>
      <c r="C8" s="3" t="s">
        <v>34</v>
      </c>
      <c r="D8" s="3" t="s">
        <v>15</v>
      </c>
      <c r="E8" s="3">
        <v>11.98</v>
      </c>
      <c r="F8" s="4">
        <v>22.955</v>
      </c>
      <c r="G8" s="3">
        <v>3003.0</v>
      </c>
      <c r="H8" s="3">
        <v>3003.0</v>
      </c>
      <c r="I8" s="3">
        <v>0.0</v>
      </c>
      <c r="J8" s="5">
        <f t="shared" si="1"/>
        <v>0</v>
      </c>
      <c r="K8" s="3">
        <v>5.8</v>
      </c>
      <c r="L8" s="3" t="s">
        <v>16</v>
      </c>
    </row>
    <row r="9">
      <c r="A9" s="3" t="s">
        <v>35</v>
      </c>
      <c r="B9" s="3" t="s">
        <v>36</v>
      </c>
      <c r="C9" s="3" t="s">
        <v>37</v>
      </c>
      <c r="D9" s="3" t="s">
        <v>15</v>
      </c>
      <c r="E9" s="3">
        <v>12.23</v>
      </c>
      <c r="F9" s="4">
        <v>23.46</v>
      </c>
      <c r="G9" s="3">
        <v>2847.0</v>
      </c>
      <c r="H9" s="3">
        <v>2847.0</v>
      </c>
      <c r="I9" s="3">
        <v>0.0</v>
      </c>
      <c r="J9" s="5">
        <f t="shared" si="1"/>
        <v>0</v>
      </c>
      <c r="K9" s="3">
        <v>6.38</v>
      </c>
      <c r="L9" s="3" t="s">
        <v>16</v>
      </c>
    </row>
    <row r="10">
      <c r="A10" s="3" t="s">
        <v>38</v>
      </c>
      <c r="B10" s="3" t="s">
        <v>39</v>
      </c>
      <c r="C10" s="3" t="s">
        <v>40</v>
      </c>
      <c r="D10" s="3" t="s">
        <v>15</v>
      </c>
      <c r="E10" s="3">
        <v>12.9</v>
      </c>
      <c r="F10" s="4">
        <v>24.8</v>
      </c>
      <c r="G10" s="3">
        <v>2936.0</v>
      </c>
      <c r="H10" s="3">
        <v>2936.0</v>
      </c>
      <c r="I10" s="3">
        <v>0.0</v>
      </c>
      <c r="J10" s="5">
        <f t="shared" si="1"/>
        <v>0</v>
      </c>
      <c r="K10" s="3">
        <v>6.93</v>
      </c>
      <c r="L10" s="3" t="s">
        <v>16</v>
      </c>
    </row>
    <row r="11">
      <c r="A11" s="3" t="s">
        <v>41</v>
      </c>
      <c r="B11" s="3" t="s">
        <v>42</v>
      </c>
      <c r="C11" s="3" t="s">
        <v>43</v>
      </c>
      <c r="D11" s="3" t="s">
        <v>15</v>
      </c>
      <c r="E11" s="3">
        <v>13.65</v>
      </c>
      <c r="F11" s="4">
        <v>26.29</v>
      </c>
      <c r="G11" s="3">
        <v>3449.0</v>
      </c>
      <c r="H11" s="3">
        <v>3449.0</v>
      </c>
      <c r="I11" s="3">
        <v>0.0</v>
      </c>
      <c r="J11" s="5">
        <f t="shared" si="1"/>
        <v>0</v>
      </c>
      <c r="K11" s="3">
        <v>7.35</v>
      </c>
      <c r="L11" s="3" t="s">
        <v>16</v>
      </c>
    </row>
    <row r="12">
      <c r="A12" s="3" t="s">
        <v>44</v>
      </c>
      <c r="B12" s="3" t="s">
        <v>45</v>
      </c>
      <c r="C12" s="3" t="s">
        <v>46</v>
      </c>
      <c r="D12" s="3" t="s">
        <v>15</v>
      </c>
      <c r="E12" s="3">
        <v>14.53</v>
      </c>
      <c r="F12" s="4">
        <v>28.05</v>
      </c>
      <c r="G12" s="3">
        <v>3438.0</v>
      </c>
      <c r="H12" s="3">
        <v>3438.0</v>
      </c>
      <c r="I12" s="3">
        <v>0.0</v>
      </c>
      <c r="J12" s="5">
        <f t="shared" si="1"/>
        <v>0</v>
      </c>
      <c r="K12" s="3">
        <v>7.56</v>
      </c>
      <c r="L12" s="3" t="s">
        <v>16</v>
      </c>
    </row>
    <row r="13">
      <c r="A13" s="3" t="s">
        <v>47</v>
      </c>
      <c r="B13" s="3" t="s">
        <v>48</v>
      </c>
      <c r="C13" s="3" t="s">
        <v>49</v>
      </c>
      <c r="D13" s="3" t="s">
        <v>15</v>
      </c>
      <c r="E13" s="3" t="s">
        <v>50</v>
      </c>
      <c r="F13" s="4">
        <v>29.05</v>
      </c>
      <c r="G13" s="3">
        <v>3711.0</v>
      </c>
      <c r="H13" s="3">
        <v>3708.0</v>
      </c>
      <c r="I13" s="3">
        <v>3.0</v>
      </c>
      <c r="J13" s="5">
        <f t="shared" si="1"/>
        <v>0.0008084074373</v>
      </c>
      <c r="K13" s="3">
        <v>7.99</v>
      </c>
      <c r="L13" s="3" t="s">
        <v>16</v>
      </c>
    </row>
    <row r="14">
      <c r="A14" s="3" t="s">
        <v>51</v>
      </c>
      <c r="B14" s="3" t="s">
        <v>52</v>
      </c>
      <c r="C14" s="3" t="s">
        <v>49</v>
      </c>
      <c r="D14" s="3" t="s">
        <v>15</v>
      </c>
      <c r="E14" s="3" t="s">
        <v>50</v>
      </c>
      <c r="F14" s="4">
        <v>30.06</v>
      </c>
      <c r="G14" s="3">
        <v>4141.0</v>
      </c>
      <c r="H14" s="3">
        <v>4133.0</v>
      </c>
      <c r="I14" s="3">
        <v>8.0</v>
      </c>
      <c r="J14" s="5">
        <f t="shared" si="1"/>
        <v>0.001931900507</v>
      </c>
      <c r="K14" s="3" t="s">
        <v>53</v>
      </c>
      <c r="L14" s="3" t="s">
        <v>16</v>
      </c>
    </row>
    <row r="15">
      <c r="A15" s="3" t="s">
        <v>54</v>
      </c>
      <c r="B15" s="3" t="s">
        <v>55</v>
      </c>
      <c r="C15" s="3" t="s">
        <v>49</v>
      </c>
      <c r="D15" s="3" t="s">
        <v>15</v>
      </c>
      <c r="E15" s="3" t="s">
        <v>50</v>
      </c>
      <c r="F15" s="4">
        <v>32.45</v>
      </c>
      <c r="G15" s="3">
        <v>4974.0</v>
      </c>
      <c r="H15" s="3">
        <v>4970.0</v>
      </c>
      <c r="I15" s="3">
        <v>4.0</v>
      </c>
      <c r="J15" s="5">
        <f t="shared" si="1"/>
        <v>0.0008041817451</v>
      </c>
      <c r="K15" s="3">
        <v>8.85</v>
      </c>
      <c r="L15" s="3" t="s">
        <v>16</v>
      </c>
    </row>
    <row r="16">
      <c r="A16" s="3" t="s">
        <v>56</v>
      </c>
      <c r="B16" s="3" t="s">
        <v>57</v>
      </c>
      <c r="C16" s="3" t="s">
        <v>49</v>
      </c>
      <c r="D16" s="3" t="s">
        <v>15</v>
      </c>
      <c r="E16" s="3" t="s">
        <v>50</v>
      </c>
      <c r="F16" s="4">
        <v>34.5</v>
      </c>
      <c r="G16" s="3">
        <v>4568.0</v>
      </c>
      <c r="H16" s="3">
        <v>4568.0</v>
      </c>
      <c r="I16" s="3">
        <v>0.0</v>
      </c>
      <c r="J16" s="5">
        <f t="shared" si="1"/>
        <v>0</v>
      </c>
      <c r="K16" s="3">
        <v>9.94</v>
      </c>
      <c r="L16" s="3" t="s">
        <v>16</v>
      </c>
    </row>
    <row r="17">
      <c r="A17" s="3" t="s">
        <v>58</v>
      </c>
      <c r="B17" s="3" t="s">
        <v>13</v>
      </c>
      <c r="C17" s="3" t="s">
        <v>59</v>
      </c>
      <c r="D17" s="3" t="s">
        <v>15</v>
      </c>
      <c r="E17" s="3">
        <v>6.23</v>
      </c>
      <c r="F17" s="4">
        <v>11.46</v>
      </c>
      <c r="G17" s="3">
        <v>1018.0</v>
      </c>
      <c r="H17" s="3">
        <v>1018.0</v>
      </c>
      <c r="I17" s="3">
        <v>0.0</v>
      </c>
      <c r="J17" s="3">
        <v>0.0</v>
      </c>
      <c r="K17" s="3">
        <v>3.83</v>
      </c>
      <c r="L17" s="3" t="s">
        <v>60</v>
      </c>
    </row>
    <row r="18">
      <c r="A18" s="3" t="s">
        <v>61</v>
      </c>
      <c r="B18" s="3" t="s">
        <v>18</v>
      </c>
      <c r="C18" s="3" t="s">
        <v>14</v>
      </c>
      <c r="D18" s="3" t="s">
        <v>15</v>
      </c>
      <c r="E18" s="3">
        <v>6.56</v>
      </c>
      <c r="F18" s="4">
        <v>12.115</v>
      </c>
      <c r="G18" s="3">
        <v>1436.0</v>
      </c>
      <c r="H18" s="3">
        <v>1436.0</v>
      </c>
      <c r="I18" s="3">
        <v>0.0</v>
      </c>
      <c r="J18" s="5">
        <f t="shared" ref="J18:J54" si="2">IFERROR(I18/G18,0)</f>
        <v>0</v>
      </c>
      <c r="K18" s="3">
        <v>3.75</v>
      </c>
      <c r="L18" s="3" t="s">
        <v>60</v>
      </c>
    </row>
    <row r="19">
      <c r="A19" s="3" t="s">
        <v>62</v>
      </c>
      <c r="B19" s="3" t="s">
        <v>21</v>
      </c>
      <c r="C19" s="3" t="s">
        <v>63</v>
      </c>
      <c r="D19" s="3" t="s">
        <v>15</v>
      </c>
      <c r="E19" s="3">
        <v>7.86</v>
      </c>
      <c r="F19" s="4">
        <v>14.72</v>
      </c>
      <c r="G19" s="3">
        <v>1411.0</v>
      </c>
      <c r="H19" s="3">
        <v>1410.0</v>
      </c>
      <c r="I19" s="3">
        <v>1.0</v>
      </c>
      <c r="J19" s="5">
        <f t="shared" si="2"/>
        <v>0.0007087172218</v>
      </c>
      <c r="K19" s="3">
        <v>4.32</v>
      </c>
      <c r="L19" s="3" t="s">
        <v>60</v>
      </c>
    </row>
    <row r="20">
      <c r="A20" s="3" t="s">
        <v>64</v>
      </c>
      <c r="B20" s="3" t="s">
        <v>24</v>
      </c>
      <c r="C20" s="3" t="s">
        <v>65</v>
      </c>
      <c r="D20" s="3" t="s">
        <v>15</v>
      </c>
      <c r="E20" s="3">
        <v>9.29</v>
      </c>
      <c r="F20" s="4">
        <v>17.57</v>
      </c>
      <c r="G20" s="3">
        <v>1970.0</v>
      </c>
      <c r="H20" s="3">
        <v>1970.0</v>
      </c>
      <c r="I20" s="3">
        <v>0.0</v>
      </c>
      <c r="J20" s="5">
        <f t="shared" si="2"/>
        <v>0</v>
      </c>
      <c r="K20" s="3" t="s">
        <v>66</v>
      </c>
      <c r="L20" s="3" t="s">
        <v>60</v>
      </c>
    </row>
    <row r="21">
      <c r="A21" s="3" t="s">
        <v>67</v>
      </c>
      <c r="B21" s="3" t="s">
        <v>68</v>
      </c>
      <c r="C21" s="3" t="s">
        <v>69</v>
      </c>
      <c r="D21" s="3" t="s">
        <v>15</v>
      </c>
      <c r="E21" s="3">
        <v>9.68</v>
      </c>
      <c r="F21" s="4">
        <v>18.35</v>
      </c>
      <c r="G21" s="3">
        <v>2189.0</v>
      </c>
      <c r="H21" s="3">
        <v>2189.0</v>
      </c>
      <c r="I21" s="3">
        <v>0.0</v>
      </c>
      <c r="J21" s="5">
        <f t="shared" si="2"/>
        <v>0</v>
      </c>
      <c r="K21" s="3">
        <v>4.99</v>
      </c>
      <c r="L21" s="3" t="s">
        <v>60</v>
      </c>
    </row>
    <row r="22">
      <c r="A22" s="3" t="s">
        <v>70</v>
      </c>
      <c r="B22" s="3" t="s">
        <v>30</v>
      </c>
      <c r="C22" s="3" t="s">
        <v>69</v>
      </c>
      <c r="D22" s="3" t="s">
        <v>15</v>
      </c>
      <c r="E22" s="3" t="s">
        <v>71</v>
      </c>
      <c r="F22" s="4">
        <v>18.78</v>
      </c>
      <c r="G22" s="3">
        <v>2087.0</v>
      </c>
      <c r="H22" s="3">
        <v>2087.0</v>
      </c>
      <c r="I22" s="3">
        <v>0.0</v>
      </c>
      <c r="J22" s="5">
        <f t="shared" si="2"/>
        <v>0</v>
      </c>
      <c r="K22" s="3">
        <v>5.25</v>
      </c>
      <c r="L22" s="3" t="s">
        <v>60</v>
      </c>
    </row>
    <row r="23">
      <c r="A23" s="3" t="s">
        <v>72</v>
      </c>
      <c r="B23" s="3" t="s">
        <v>33</v>
      </c>
      <c r="C23" s="3" t="s">
        <v>31</v>
      </c>
      <c r="D23" s="3" t="s">
        <v>15</v>
      </c>
      <c r="E23" s="3">
        <v>10.74</v>
      </c>
      <c r="F23" s="4">
        <v>20.48</v>
      </c>
      <c r="G23" s="3">
        <v>1576.0</v>
      </c>
      <c r="H23" s="3">
        <v>1576.0</v>
      </c>
      <c r="I23" s="3">
        <v>0.0</v>
      </c>
      <c r="J23" s="5">
        <f t="shared" si="2"/>
        <v>0</v>
      </c>
      <c r="K23" s="3">
        <v>5.78</v>
      </c>
      <c r="L23" s="3" t="s">
        <v>60</v>
      </c>
    </row>
    <row r="24">
      <c r="A24" s="3" t="s">
        <v>73</v>
      </c>
      <c r="B24" s="3" t="s">
        <v>36</v>
      </c>
      <c r="C24" s="3" t="s">
        <v>74</v>
      </c>
      <c r="D24" s="3" t="s">
        <v>15</v>
      </c>
      <c r="E24" s="3">
        <v>11.54</v>
      </c>
      <c r="F24" s="4" t="s">
        <v>75</v>
      </c>
      <c r="G24" s="3">
        <v>2689.0</v>
      </c>
      <c r="H24" s="3">
        <v>2689.0</v>
      </c>
      <c r="I24" s="3">
        <v>0.0</v>
      </c>
      <c r="J24" s="5">
        <f t="shared" si="2"/>
        <v>0</v>
      </c>
      <c r="K24" s="3">
        <v>6.18</v>
      </c>
      <c r="L24" s="3" t="s">
        <v>60</v>
      </c>
    </row>
    <row r="25">
      <c r="A25" s="3" t="s">
        <v>76</v>
      </c>
      <c r="B25" s="3" t="s">
        <v>39</v>
      </c>
      <c r="C25" s="3" t="s">
        <v>31</v>
      </c>
      <c r="D25" s="3" t="s">
        <v>15</v>
      </c>
      <c r="E25" s="3">
        <v>10.78</v>
      </c>
      <c r="F25" s="4">
        <v>20.56</v>
      </c>
      <c r="G25" s="3">
        <v>2366.0</v>
      </c>
      <c r="H25" s="3">
        <v>2364.0</v>
      </c>
      <c r="I25" s="3">
        <v>2.0</v>
      </c>
      <c r="J25" s="5">
        <f t="shared" si="2"/>
        <v>0.0008453085376</v>
      </c>
      <c r="K25" s="3">
        <v>5.72</v>
      </c>
      <c r="L25" s="3" t="s">
        <v>60</v>
      </c>
    </row>
    <row r="26">
      <c r="A26" s="3" t="s">
        <v>77</v>
      </c>
      <c r="B26" s="3" t="s">
        <v>42</v>
      </c>
      <c r="C26" s="3" t="s">
        <v>37</v>
      </c>
      <c r="D26" s="3" t="s">
        <v>15</v>
      </c>
      <c r="E26" s="3">
        <v>12.3</v>
      </c>
      <c r="F26" s="4">
        <v>23.6</v>
      </c>
      <c r="G26" s="3">
        <v>2420.0</v>
      </c>
      <c r="H26" s="3">
        <v>2420.0</v>
      </c>
      <c r="I26" s="3">
        <v>0.0</v>
      </c>
      <c r="J26" s="5">
        <f t="shared" si="2"/>
        <v>0</v>
      </c>
      <c r="K26" s="3">
        <v>6.4</v>
      </c>
      <c r="L26" s="3" t="s">
        <v>60</v>
      </c>
    </row>
    <row r="27">
      <c r="A27" s="3" t="s">
        <v>78</v>
      </c>
      <c r="B27" s="3" t="s">
        <v>45</v>
      </c>
      <c r="C27" s="3" t="s">
        <v>43</v>
      </c>
      <c r="D27" s="3" t="s">
        <v>15</v>
      </c>
      <c r="E27" s="3">
        <v>13.37</v>
      </c>
      <c r="F27" s="4">
        <v>25.73</v>
      </c>
      <c r="G27" s="3">
        <v>3081.0</v>
      </c>
      <c r="H27" s="3">
        <v>3080.0</v>
      </c>
      <c r="I27" s="3">
        <v>1.0</v>
      </c>
      <c r="J27" s="5">
        <f t="shared" si="2"/>
        <v>0.0003245699448</v>
      </c>
      <c r="K27" s="3">
        <v>7.04</v>
      </c>
      <c r="L27" s="3" t="s">
        <v>60</v>
      </c>
    </row>
    <row r="28">
      <c r="A28" s="3" t="s">
        <v>79</v>
      </c>
      <c r="B28" s="3" t="s">
        <v>48</v>
      </c>
      <c r="C28" s="3" t="s">
        <v>80</v>
      </c>
      <c r="D28" s="3" t="s">
        <v>15</v>
      </c>
      <c r="E28" s="3">
        <v>14.2</v>
      </c>
      <c r="F28" s="4">
        <v>27.39</v>
      </c>
      <c r="G28" s="3">
        <v>3085.0</v>
      </c>
      <c r="H28" s="3">
        <v>3085.0</v>
      </c>
      <c r="I28" s="3">
        <v>0.0</v>
      </c>
      <c r="J28" s="5">
        <f t="shared" si="2"/>
        <v>0</v>
      </c>
      <c r="K28" s="3">
        <v>7.85</v>
      </c>
      <c r="L28" s="3" t="s">
        <v>60</v>
      </c>
    </row>
    <row r="29">
      <c r="A29" s="3" t="s">
        <v>81</v>
      </c>
      <c r="B29" s="3" t="s">
        <v>52</v>
      </c>
      <c r="C29" s="3" t="s">
        <v>82</v>
      </c>
      <c r="D29" s="3" t="s">
        <v>15</v>
      </c>
      <c r="E29" s="3">
        <v>14.96</v>
      </c>
      <c r="F29" s="4">
        <v>28.9231</v>
      </c>
      <c r="G29" s="3">
        <v>3644.0</v>
      </c>
      <c r="H29" s="3">
        <v>3642.0</v>
      </c>
      <c r="I29" s="3">
        <v>2.0</v>
      </c>
      <c r="J29" s="5">
        <f t="shared" si="2"/>
        <v>0.0005488474204</v>
      </c>
      <c r="K29" s="3">
        <v>7.94</v>
      </c>
      <c r="L29" s="3" t="s">
        <v>60</v>
      </c>
    </row>
    <row r="30">
      <c r="A30" s="3" t="s">
        <v>83</v>
      </c>
      <c r="B30" s="3" t="s">
        <v>55</v>
      </c>
      <c r="C30" s="3" t="s">
        <v>49</v>
      </c>
      <c r="D30" s="3" t="s">
        <v>15</v>
      </c>
      <c r="E30" s="3" t="s">
        <v>50</v>
      </c>
      <c r="F30" s="4">
        <v>31.89</v>
      </c>
      <c r="G30" s="3">
        <v>3624.0</v>
      </c>
      <c r="H30" s="3">
        <v>3624.0</v>
      </c>
      <c r="I30" s="3">
        <v>0.0</v>
      </c>
      <c r="J30" s="5">
        <f t="shared" si="2"/>
        <v>0</v>
      </c>
      <c r="K30" s="3">
        <v>9.26</v>
      </c>
      <c r="L30" s="3" t="s">
        <v>60</v>
      </c>
    </row>
    <row r="31">
      <c r="A31" s="3" t="s">
        <v>84</v>
      </c>
      <c r="B31" s="3" t="s">
        <v>57</v>
      </c>
      <c r="C31" s="3" t="s">
        <v>49</v>
      </c>
      <c r="D31" s="3" t="s">
        <v>15</v>
      </c>
      <c r="E31" s="3" t="s">
        <v>50</v>
      </c>
      <c r="F31" s="4">
        <v>32.1161</v>
      </c>
      <c r="G31" s="3">
        <v>4000.0</v>
      </c>
      <c r="H31" s="3">
        <v>4000.0</v>
      </c>
      <c r="I31" s="3">
        <v>0.0</v>
      </c>
      <c r="J31" s="5">
        <f t="shared" si="2"/>
        <v>0</v>
      </c>
      <c r="K31" s="3">
        <v>9.26</v>
      </c>
      <c r="L31" s="3" t="s">
        <v>60</v>
      </c>
    </row>
    <row r="32">
      <c r="A32" s="3" t="s">
        <v>85</v>
      </c>
      <c r="B32" s="3" t="s">
        <v>86</v>
      </c>
      <c r="C32" s="3" t="s">
        <v>87</v>
      </c>
      <c r="D32" s="3" t="s">
        <v>15</v>
      </c>
      <c r="E32" s="3">
        <v>5.87</v>
      </c>
      <c r="F32" s="4">
        <v>10.75</v>
      </c>
      <c r="G32" s="3">
        <v>851.0</v>
      </c>
      <c r="H32" s="3">
        <v>845.0</v>
      </c>
      <c r="I32" s="3">
        <v>6.0</v>
      </c>
      <c r="J32" s="5">
        <f t="shared" si="2"/>
        <v>0.00705052879</v>
      </c>
      <c r="K32" s="3">
        <v>3.32</v>
      </c>
      <c r="L32" s="3" t="s">
        <v>88</v>
      </c>
    </row>
    <row r="33">
      <c r="A33" s="3" t="s">
        <v>89</v>
      </c>
      <c r="B33" s="3" t="s">
        <v>90</v>
      </c>
      <c r="C33" s="3" t="s">
        <v>91</v>
      </c>
      <c r="D33" s="3" t="s">
        <v>15</v>
      </c>
      <c r="E33" s="3">
        <v>7.38</v>
      </c>
      <c r="F33" s="4">
        <v>13.75</v>
      </c>
      <c r="G33" s="3">
        <v>1814.0</v>
      </c>
      <c r="H33" s="3">
        <v>1810.0</v>
      </c>
      <c r="I33" s="3">
        <v>4.0</v>
      </c>
      <c r="J33" s="5">
        <f t="shared" si="2"/>
        <v>0.002205071665</v>
      </c>
      <c r="K33" s="3">
        <v>4.05</v>
      </c>
      <c r="L33" s="3" t="s">
        <v>88</v>
      </c>
    </row>
    <row r="34">
      <c r="A34" s="3" t="s">
        <v>92</v>
      </c>
      <c r="B34" s="3" t="s">
        <v>93</v>
      </c>
      <c r="C34" s="3" t="s">
        <v>19</v>
      </c>
      <c r="D34" s="3" t="s">
        <v>15</v>
      </c>
      <c r="E34" s="3">
        <v>8.22</v>
      </c>
      <c r="F34" s="4">
        <v>15.442</v>
      </c>
      <c r="G34" s="3">
        <v>1436.0</v>
      </c>
      <c r="H34" s="3">
        <v>1436.0</v>
      </c>
      <c r="I34" s="3">
        <v>0.0</v>
      </c>
      <c r="J34" s="5">
        <f t="shared" si="2"/>
        <v>0</v>
      </c>
      <c r="K34" s="3">
        <v>3.9</v>
      </c>
      <c r="L34" s="3" t="s">
        <v>88</v>
      </c>
    </row>
    <row r="35">
      <c r="A35" s="3" t="s">
        <v>26</v>
      </c>
      <c r="B35" s="3" t="s">
        <v>94</v>
      </c>
      <c r="C35" s="3" t="s">
        <v>95</v>
      </c>
      <c r="D35" s="3" t="s">
        <v>15</v>
      </c>
      <c r="E35" s="3">
        <v>9.36</v>
      </c>
      <c r="F35" s="4">
        <v>17.71</v>
      </c>
      <c r="G35" s="3">
        <v>1906.0</v>
      </c>
      <c r="H35" s="3">
        <v>1897.0</v>
      </c>
      <c r="I35" s="3">
        <v>9.0</v>
      </c>
      <c r="J35" s="5">
        <f t="shared" si="2"/>
        <v>0.004721930745</v>
      </c>
      <c r="K35" s="3">
        <v>5.12</v>
      </c>
      <c r="L35" s="3" t="s">
        <v>88</v>
      </c>
    </row>
    <row r="36">
      <c r="A36" s="3" t="s">
        <v>96</v>
      </c>
      <c r="B36" s="3" t="s">
        <v>68</v>
      </c>
      <c r="C36" s="3" t="s">
        <v>97</v>
      </c>
      <c r="D36" s="3" t="s">
        <v>15</v>
      </c>
      <c r="E36" s="3">
        <v>10.49</v>
      </c>
      <c r="F36" s="4">
        <v>19.98</v>
      </c>
      <c r="G36" s="3">
        <v>1853.0</v>
      </c>
      <c r="H36" s="3">
        <v>1853.0</v>
      </c>
      <c r="I36" s="3">
        <v>0.0</v>
      </c>
      <c r="J36" s="5">
        <f t="shared" si="2"/>
        <v>0</v>
      </c>
      <c r="K36" s="3">
        <v>5.11</v>
      </c>
      <c r="L36" s="3" t="s">
        <v>88</v>
      </c>
    </row>
    <row r="37">
      <c r="A37" s="3" t="s">
        <v>98</v>
      </c>
      <c r="B37" s="3" t="s">
        <v>99</v>
      </c>
      <c r="C37" s="3" t="s">
        <v>97</v>
      </c>
      <c r="D37" s="3" t="s">
        <v>15</v>
      </c>
      <c r="E37" s="3">
        <v>10.38</v>
      </c>
      <c r="F37" s="4">
        <v>19.754</v>
      </c>
      <c r="G37" s="3">
        <v>2166.0</v>
      </c>
      <c r="H37" s="3">
        <v>2166.0</v>
      </c>
      <c r="I37" s="3">
        <v>0.0</v>
      </c>
      <c r="J37" s="5">
        <f t="shared" si="2"/>
        <v>0</v>
      </c>
      <c r="K37" s="3">
        <v>5.5</v>
      </c>
      <c r="L37" s="3" t="s">
        <v>88</v>
      </c>
    </row>
    <row r="38">
      <c r="A38" s="3" t="s">
        <v>100</v>
      </c>
      <c r="B38" s="3" t="s">
        <v>101</v>
      </c>
      <c r="C38" s="3" t="s">
        <v>31</v>
      </c>
      <c r="D38" s="3" t="s">
        <v>15</v>
      </c>
      <c r="E38" s="3">
        <v>10.96</v>
      </c>
      <c r="F38" s="4">
        <v>20.924</v>
      </c>
      <c r="G38" s="3">
        <v>2818.0</v>
      </c>
      <c r="H38" s="3">
        <v>2818.0</v>
      </c>
      <c r="I38" s="3">
        <v>0.0</v>
      </c>
      <c r="J38" s="5">
        <f t="shared" si="2"/>
        <v>0</v>
      </c>
      <c r="K38" s="3">
        <v>5.53</v>
      </c>
      <c r="L38" s="3" t="s">
        <v>88</v>
      </c>
    </row>
    <row r="39">
      <c r="A39" s="3" t="s">
        <v>102</v>
      </c>
      <c r="B39" s="3" t="s">
        <v>36</v>
      </c>
      <c r="C39" s="3" t="s">
        <v>74</v>
      </c>
      <c r="D39" s="3" t="s">
        <v>15</v>
      </c>
      <c r="E39" s="3">
        <v>11.43</v>
      </c>
      <c r="F39" s="4">
        <v>21.8606</v>
      </c>
      <c r="G39" s="3">
        <v>2876.0</v>
      </c>
      <c r="H39" s="3">
        <v>2876.0</v>
      </c>
      <c r="I39" s="3">
        <v>0.0</v>
      </c>
      <c r="J39" s="5">
        <f t="shared" si="2"/>
        <v>0</v>
      </c>
      <c r="K39" s="3">
        <v>5.45</v>
      </c>
      <c r="L39" s="3" t="s">
        <v>88</v>
      </c>
    </row>
    <row r="40">
      <c r="A40" s="3" t="s">
        <v>103</v>
      </c>
      <c r="B40" s="3" t="s">
        <v>39</v>
      </c>
      <c r="C40" s="3" t="s">
        <v>37</v>
      </c>
      <c r="D40" s="3" t="s">
        <v>15</v>
      </c>
      <c r="E40" s="3">
        <v>12.12</v>
      </c>
      <c r="F40" s="4">
        <v>23.25</v>
      </c>
      <c r="G40" s="3">
        <v>2508.0</v>
      </c>
      <c r="H40" s="3">
        <v>2508.0</v>
      </c>
      <c r="I40" s="3">
        <v>0.0</v>
      </c>
      <c r="J40" s="5">
        <f t="shared" si="2"/>
        <v>0</v>
      </c>
      <c r="K40" s="3">
        <v>6.25</v>
      </c>
      <c r="L40" s="3" t="s">
        <v>88</v>
      </c>
    </row>
    <row r="41">
      <c r="A41" s="3" t="s">
        <v>104</v>
      </c>
      <c r="B41" s="3" t="s">
        <v>105</v>
      </c>
      <c r="C41" s="3" t="s">
        <v>106</v>
      </c>
      <c r="D41" s="3" t="s">
        <v>15</v>
      </c>
      <c r="E41" s="3">
        <v>12.62</v>
      </c>
      <c r="F41" s="4">
        <v>24.24</v>
      </c>
      <c r="G41" s="3">
        <v>2672.0</v>
      </c>
      <c r="H41" s="3">
        <v>2671.0</v>
      </c>
      <c r="I41" s="3">
        <v>1.0</v>
      </c>
      <c r="J41" s="5">
        <f t="shared" si="2"/>
        <v>0.000374251497</v>
      </c>
      <c r="K41" s="3">
        <v>6.21</v>
      </c>
      <c r="L41" s="3" t="s">
        <v>88</v>
      </c>
    </row>
    <row r="42">
      <c r="A42" s="3" t="s">
        <v>107</v>
      </c>
      <c r="B42" s="3" t="s">
        <v>108</v>
      </c>
      <c r="C42" s="3" t="s">
        <v>43</v>
      </c>
      <c r="D42" s="3" t="s">
        <v>15</v>
      </c>
      <c r="E42" s="3">
        <v>13.35</v>
      </c>
      <c r="F42" s="4">
        <v>25.7</v>
      </c>
      <c r="G42" s="3">
        <v>2366.0</v>
      </c>
      <c r="H42" s="3">
        <v>2366.0</v>
      </c>
      <c r="I42" s="3">
        <v>0.0</v>
      </c>
      <c r="J42" s="5">
        <f t="shared" si="2"/>
        <v>0</v>
      </c>
      <c r="K42" s="3">
        <v>6.24</v>
      </c>
      <c r="L42" s="3" t="s">
        <v>88</v>
      </c>
    </row>
    <row r="43">
      <c r="A43" s="3" t="s">
        <v>109</v>
      </c>
      <c r="B43" s="3" t="s">
        <v>48</v>
      </c>
      <c r="C43" s="3" t="s">
        <v>82</v>
      </c>
      <c r="D43" s="3" t="s">
        <v>15</v>
      </c>
      <c r="E43" s="3">
        <v>14.79</v>
      </c>
      <c r="F43" s="4" t="s">
        <v>110</v>
      </c>
      <c r="G43" s="3">
        <v>2500.0</v>
      </c>
      <c r="H43" s="3">
        <v>2500.0</v>
      </c>
      <c r="I43" s="3">
        <v>0.0</v>
      </c>
      <c r="J43" s="5">
        <f t="shared" si="2"/>
        <v>0</v>
      </c>
      <c r="K43" s="3">
        <v>7.22</v>
      </c>
      <c r="L43" s="3" t="s">
        <v>88</v>
      </c>
    </row>
    <row r="44">
      <c r="A44" s="3" t="s">
        <v>111</v>
      </c>
      <c r="B44" s="3" t="s">
        <v>52</v>
      </c>
      <c r="C44" s="3" t="s">
        <v>49</v>
      </c>
      <c r="D44" s="3" t="s">
        <v>15</v>
      </c>
      <c r="E44" s="3" t="s">
        <v>50</v>
      </c>
      <c r="F44" s="4">
        <v>30.52</v>
      </c>
      <c r="G44" s="3">
        <v>3174.0</v>
      </c>
      <c r="H44" s="3">
        <v>3174.0</v>
      </c>
      <c r="I44" s="3">
        <v>0.0</v>
      </c>
      <c r="J44" s="5">
        <f t="shared" si="2"/>
        <v>0</v>
      </c>
      <c r="K44" s="3">
        <v>7.65</v>
      </c>
      <c r="L44" s="3" t="s">
        <v>88</v>
      </c>
    </row>
    <row r="45">
      <c r="A45" s="3" t="s">
        <v>112</v>
      </c>
      <c r="B45" s="3" t="s">
        <v>55</v>
      </c>
      <c r="C45" s="3" t="s">
        <v>49</v>
      </c>
      <c r="D45" s="3" t="s">
        <v>15</v>
      </c>
      <c r="E45" s="3" t="s">
        <v>50</v>
      </c>
      <c r="F45" s="4">
        <v>32.07</v>
      </c>
      <c r="G45" s="3">
        <v>2722.0</v>
      </c>
      <c r="H45" s="3">
        <v>2721.0</v>
      </c>
      <c r="I45" s="3">
        <v>1.0</v>
      </c>
      <c r="J45" s="5">
        <f t="shared" si="2"/>
        <v>0.0003673769287</v>
      </c>
      <c r="K45" s="3">
        <v>8.25</v>
      </c>
      <c r="L45" s="3" t="s">
        <v>88</v>
      </c>
    </row>
    <row r="46">
      <c r="A46" s="3" t="s">
        <v>113</v>
      </c>
      <c r="B46" s="3" t="s">
        <v>57</v>
      </c>
      <c r="C46" s="3" t="s">
        <v>49</v>
      </c>
      <c r="D46" s="3" t="s">
        <v>15</v>
      </c>
      <c r="E46" s="3" t="s">
        <v>50</v>
      </c>
      <c r="F46" s="4">
        <v>33.39</v>
      </c>
      <c r="G46" s="3">
        <v>4502.0</v>
      </c>
      <c r="H46" s="3">
        <v>4501.0</v>
      </c>
      <c r="I46" s="3">
        <v>1.0</v>
      </c>
      <c r="J46" s="5">
        <f t="shared" si="2"/>
        <v>0.0002221235007</v>
      </c>
      <c r="K46" s="3">
        <v>9.64</v>
      </c>
      <c r="L46" s="3" t="s">
        <v>88</v>
      </c>
    </row>
    <row r="47">
      <c r="A47" s="3" t="s">
        <v>114</v>
      </c>
      <c r="B47" s="3" t="s">
        <v>115</v>
      </c>
      <c r="C47" s="3" t="s">
        <v>116</v>
      </c>
      <c r="D47" s="3" t="s">
        <v>15</v>
      </c>
      <c r="E47" s="3">
        <v>7.11</v>
      </c>
      <c r="F47" s="4">
        <v>13.22</v>
      </c>
      <c r="G47" s="3">
        <v>1023.0</v>
      </c>
      <c r="H47" s="3">
        <v>1022.0</v>
      </c>
      <c r="I47" s="3">
        <v>1.0</v>
      </c>
      <c r="J47" s="5">
        <f t="shared" si="2"/>
        <v>0.0009775171065</v>
      </c>
      <c r="K47" s="3">
        <v>3.39</v>
      </c>
      <c r="L47" s="3" t="s">
        <v>117</v>
      </c>
    </row>
    <row r="48">
      <c r="A48" s="3" t="s">
        <v>118</v>
      </c>
      <c r="B48" s="3" t="s">
        <v>119</v>
      </c>
      <c r="C48" s="3" t="s">
        <v>25</v>
      </c>
      <c r="D48" s="3" t="s">
        <v>15</v>
      </c>
      <c r="E48" s="3">
        <v>8.71</v>
      </c>
      <c r="F48" s="4">
        <v>16.4148</v>
      </c>
      <c r="G48" s="3">
        <v>1312.0</v>
      </c>
      <c r="H48" s="3">
        <v>1260.0</v>
      </c>
      <c r="I48" s="3">
        <v>52.0</v>
      </c>
      <c r="J48" s="5">
        <f t="shared" si="2"/>
        <v>0.03963414634</v>
      </c>
      <c r="K48" s="3">
        <v>4.32</v>
      </c>
      <c r="L48" s="3" t="s">
        <v>117</v>
      </c>
    </row>
    <row r="49">
      <c r="A49" s="3" t="s">
        <v>120</v>
      </c>
      <c r="B49" s="3" t="s">
        <v>121</v>
      </c>
      <c r="C49" s="3" t="s">
        <v>69</v>
      </c>
      <c r="D49" s="3" t="s">
        <v>15</v>
      </c>
      <c r="E49" s="3">
        <v>9.73</v>
      </c>
      <c r="F49" s="4">
        <v>18.45</v>
      </c>
      <c r="G49" s="3">
        <v>1784.0</v>
      </c>
      <c r="H49" s="3">
        <v>1783.0</v>
      </c>
      <c r="I49" s="3">
        <v>1.0</v>
      </c>
      <c r="J49" s="5">
        <f t="shared" si="2"/>
        <v>0.0005605381166</v>
      </c>
      <c r="K49" s="3">
        <v>4.68</v>
      </c>
      <c r="L49" s="3" t="s">
        <v>117</v>
      </c>
    </row>
    <row r="50">
      <c r="A50" s="3" t="s">
        <v>122</v>
      </c>
      <c r="B50" s="3" t="s">
        <v>123</v>
      </c>
      <c r="C50" s="3" t="s">
        <v>28</v>
      </c>
      <c r="D50" s="3" t="s">
        <v>15</v>
      </c>
      <c r="E50" s="3">
        <v>10.07</v>
      </c>
      <c r="F50" s="4">
        <v>19.1407</v>
      </c>
      <c r="G50" s="3">
        <v>1871.0</v>
      </c>
      <c r="H50" s="3">
        <v>1851.0</v>
      </c>
      <c r="I50" s="3">
        <v>20.0</v>
      </c>
      <c r="J50" s="5">
        <f t="shared" si="2"/>
        <v>0.01068947087</v>
      </c>
      <c r="K50" s="3">
        <v>5.04</v>
      </c>
      <c r="L50" s="3" t="s">
        <v>117</v>
      </c>
    </row>
    <row r="51">
      <c r="A51" s="3" t="s">
        <v>124</v>
      </c>
      <c r="B51" s="3" t="s">
        <v>125</v>
      </c>
      <c r="C51" s="3" t="s">
        <v>95</v>
      </c>
      <c r="D51" s="3" t="s">
        <v>15</v>
      </c>
      <c r="E51" s="3">
        <v>9.56</v>
      </c>
      <c r="F51" s="4">
        <v>18.12</v>
      </c>
      <c r="G51" s="3">
        <v>2108.0</v>
      </c>
      <c r="H51" s="3">
        <v>2108.0</v>
      </c>
      <c r="I51" s="3">
        <v>0.0</v>
      </c>
      <c r="J51" s="5">
        <f t="shared" si="2"/>
        <v>0</v>
      </c>
      <c r="K51" s="3">
        <v>4.74</v>
      </c>
      <c r="L51" s="3" t="s">
        <v>117</v>
      </c>
    </row>
    <row r="52">
      <c r="A52" s="3" t="s">
        <v>126</v>
      </c>
      <c r="B52" s="3" t="s">
        <v>127</v>
      </c>
      <c r="C52" s="3" t="s">
        <v>28</v>
      </c>
      <c r="D52" s="3" t="s">
        <v>15</v>
      </c>
      <c r="E52" s="3">
        <v>10.21</v>
      </c>
      <c r="F52" s="4">
        <v>19.41</v>
      </c>
      <c r="G52" s="3">
        <v>1975.0</v>
      </c>
      <c r="H52" s="3">
        <v>1975.0</v>
      </c>
      <c r="I52" s="3">
        <v>0.0</v>
      </c>
      <c r="J52" s="5">
        <f t="shared" si="2"/>
        <v>0</v>
      </c>
      <c r="K52" s="3">
        <v>4.83</v>
      </c>
      <c r="L52" s="3" t="s">
        <v>117</v>
      </c>
    </row>
    <row r="53">
      <c r="A53" s="3" t="s">
        <v>128</v>
      </c>
      <c r="B53" s="3" t="s">
        <v>129</v>
      </c>
      <c r="C53" s="3" t="s">
        <v>97</v>
      </c>
      <c r="D53" s="3" t="s">
        <v>15</v>
      </c>
      <c r="E53" s="3">
        <v>10.6</v>
      </c>
      <c r="F53" s="4">
        <v>20.21</v>
      </c>
      <c r="G53" s="3">
        <v>2368.0</v>
      </c>
      <c r="H53" s="3">
        <v>2368.0</v>
      </c>
      <c r="I53" s="3">
        <v>0.0</v>
      </c>
      <c r="J53" s="5">
        <f t="shared" si="2"/>
        <v>0</v>
      </c>
      <c r="K53" s="3">
        <v>4.97</v>
      </c>
      <c r="L53" s="3" t="s">
        <v>117</v>
      </c>
    </row>
    <row r="54">
      <c r="A54" s="3" t="s">
        <v>130</v>
      </c>
      <c r="B54" s="3" t="s">
        <v>131</v>
      </c>
      <c r="C54" s="3" t="s">
        <v>34</v>
      </c>
      <c r="D54" s="3" t="s">
        <v>15</v>
      </c>
      <c r="E54" s="3">
        <v>11.86</v>
      </c>
      <c r="F54" s="4">
        <v>22.723</v>
      </c>
      <c r="G54" s="3">
        <v>1938.0</v>
      </c>
      <c r="H54" s="3">
        <v>1938.0</v>
      </c>
      <c r="I54" s="3">
        <v>0.0</v>
      </c>
      <c r="J54" s="5">
        <f t="shared" si="2"/>
        <v>0</v>
      </c>
      <c r="K54" s="3">
        <v>5.47</v>
      </c>
      <c r="L54" s="3" t="s">
        <v>117</v>
      </c>
    </row>
    <row r="55">
      <c r="A55" s="3" t="s">
        <v>132</v>
      </c>
      <c r="B55" s="3" t="s">
        <v>133</v>
      </c>
      <c r="C55" s="3" t="s">
        <v>134</v>
      </c>
      <c r="D55" s="3" t="s">
        <v>15</v>
      </c>
      <c r="E55" s="3">
        <v>13.14</v>
      </c>
      <c r="F55" s="4">
        <v>25.28</v>
      </c>
      <c r="G55" s="3">
        <v>2825.0</v>
      </c>
      <c r="H55" s="3">
        <v>2825.0</v>
      </c>
      <c r="I55" s="3">
        <v>0.0</v>
      </c>
      <c r="J55" s="3">
        <v>0.0</v>
      </c>
      <c r="K55" s="3">
        <v>6.38</v>
      </c>
      <c r="L55" s="3" t="s">
        <v>117</v>
      </c>
    </row>
    <row r="56">
      <c r="A56" s="3" t="s">
        <v>135</v>
      </c>
      <c r="B56" s="3" t="s">
        <v>136</v>
      </c>
      <c r="C56" s="3" t="s">
        <v>40</v>
      </c>
      <c r="D56" s="3" t="s">
        <v>15</v>
      </c>
      <c r="E56" s="3">
        <v>12.79</v>
      </c>
      <c r="F56" s="4">
        <v>24.59</v>
      </c>
      <c r="G56" s="3">
        <v>2230.0</v>
      </c>
      <c r="H56" s="3">
        <v>2230.0</v>
      </c>
      <c r="I56" s="3">
        <v>0.0</v>
      </c>
      <c r="J56" s="5">
        <f t="shared" ref="J56:J61" si="3">IFERROR(I56/G56,0)</f>
        <v>0</v>
      </c>
      <c r="K56" s="3">
        <v>6.36</v>
      </c>
      <c r="L56" s="3" t="s">
        <v>117</v>
      </c>
    </row>
    <row r="57">
      <c r="A57" s="3" t="s">
        <v>137</v>
      </c>
      <c r="B57" s="3" t="s">
        <v>138</v>
      </c>
      <c r="C57" s="3" t="s">
        <v>139</v>
      </c>
      <c r="D57" s="3" t="s">
        <v>15</v>
      </c>
      <c r="E57" s="3">
        <v>13.92</v>
      </c>
      <c r="F57" s="4">
        <v>26.84</v>
      </c>
      <c r="G57" s="3">
        <v>2511.0</v>
      </c>
      <c r="H57" s="3">
        <v>2511.0</v>
      </c>
      <c r="I57" s="3">
        <v>0.0</v>
      </c>
      <c r="J57" s="5">
        <f t="shared" si="3"/>
        <v>0</v>
      </c>
      <c r="K57" s="3">
        <v>6.58</v>
      </c>
      <c r="L57" s="3" t="s">
        <v>117</v>
      </c>
    </row>
    <row r="58">
      <c r="A58" s="3" t="s">
        <v>140</v>
      </c>
      <c r="B58" s="3" t="s">
        <v>48</v>
      </c>
      <c r="C58" s="3" t="s">
        <v>80</v>
      </c>
      <c r="D58" s="3" t="s">
        <v>15</v>
      </c>
      <c r="E58" s="3">
        <v>14.06</v>
      </c>
      <c r="F58" s="4">
        <v>27.1194</v>
      </c>
      <c r="G58" s="3">
        <v>2707.0</v>
      </c>
      <c r="H58" s="3">
        <v>2706.0</v>
      </c>
      <c r="I58" s="3">
        <v>1.0</v>
      </c>
      <c r="J58" s="5">
        <f t="shared" si="3"/>
        <v>0.0003694126339</v>
      </c>
      <c r="K58" s="3">
        <v>7.31</v>
      </c>
      <c r="L58" s="3" t="s">
        <v>117</v>
      </c>
    </row>
    <row r="59">
      <c r="A59" s="3" t="s">
        <v>141</v>
      </c>
      <c r="B59" s="3" t="s">
        <v>55</v>
      </c>
      <c r="C59" s="3" t="s">
        <v>49</v>
      </c>
      <c r="D59" s="3" t="s">
        <v>15</v>
      </c>
      <c r="E59" s="3" t="s">
        <v>50</v>
      </c>
      <c r="F59" s="4">
        <v>32.4734</v>
      </c>
      <c r="G59" s="3">
        <v>3258.0</v>
      </c>
      <c r="H59" s="3">
        <v>3258.0</v>
      </c>
      <c r="I59" s="3">
        <v>0.0</v>
      </c>
      <c r="J59" s="5">
        <f t="shared" si="3"/>
        <v>0</v>
      </c>
      <c r="K59" s="3">
        <v>7.9</v>
      </c>
      <c r="L59" s="3" t="s">
        <v>117</v>
      </c>
    </row>
    <row r="60">
      <c r="A60" s="3" t="s">
        <v>142</v>
      </c>
      <c r="B60" s="3" t="s">
        <v>52</v>
      </c>
      <c r="C60" s="3" t="s">
        <v>49</v>
      </c>
      <c r="D60" s="3" t="s">
        <v>15</v>
      </c>
      <c r="E60" s="3" t="s">
        <v>50</v>
      </c>
      <c r="F60" s="4">
        <v>29.6</v>
      </c>
      <c r="G60" s="3">
        <v>3260.0</v>
      </c>
      <c r="H60" s="3">
        <v>3260.0</v>
      </c>
      <c r="I60" s="3">
        <v>0.0</v>
      </c>
      <c r="J60" s="5">
        <f t="shared" si="3"/>
        <v>0</v>
      </c>
      <c r="K60" s="3">
        <v>8.08</v>
      </c>
      <c r="L60" s="3" t="s">
        <v>117</v>
      </c>
    </row>
    <row r="61">
      <c r="A61" s="3" t="s">
        <v>143</v>
      </c>
      <c r="B61" s="3" t="s">
        <v>57</v>
      </c>
      <c r="C61" s="3" t="s">
        <v>49</v>
      </c>
      <c r="D61" s="3" t="s">
        <v>15</v>
      </c>
      <c r="E61" s="3" t="s">
        <v>50</v>
      </c>
      <c r="F61" s="4">
        <v>34.345</v>
      </c>
      <c r="G61" s="3">
        <v>3314.0</v>
      </c>
      <c r="H61" s="3">
        <v>3314.0</v>
      </c>
      <c r="I61" s="3">
        <v>0.0</v>
      </c>
      <c r="J61" s="5">
        <f t="shared" si="3"/>
        <v>0</v>
      </c>
      <c r="K61" s="3">
        <v>8.74</v>
      </c>
      <c r="L61" s="3" t="s">
        <v>117</v>
      </c>
    </row>
    <row r="62">
      <c r="A62" s="5"/>
      <c r="B62" s="5"/>
      <c r="C62" s="5"/>
      <c r="D62" s="5"/>
      <c r="E62" s="5"/>
      <c r="F62" s="6"/>
      <c r="G62" s="5"/>
      <c r="H62" s="5"/>
      <c r="I62" s="5"/>
      <c r="J62" s="5"/>
      <c r="K62" s="5"/>
      <c r="L62" s="5"/>
    </row>
    <row r="63">
      <c r="A63" s="5"/>
      <c r="B63" s="5"/>
      <c r="C63" s="5"/>
      <c r="D63" s="5"/>
      <c r="E63" s="5"/>
      <c r="F63" s="6"/>
      <c r="G63" s="5"/>
      <c r="H63" s="5"/>
      <c r="I63" s="5"/>
      <c r="J63" s="5"/>
      <c r="K63" s="5"/>
      <c r="L63" s="5"/>
    </row>
    <row r="64">
      <c r="A64" s="5"/>
      <c r="B64" s="5"/>
      <c r="C64" s="5"/>
      <c r="D64" s="5"/>
      <c r="E64" s="5"/>
      <c r="F64" s="6"/>
      <c r="G64" s="5"/>
      <c r="H64" s="5"/>
      <c r="I64" s="5"/>
      <c r="J64" s="5"/>
      <c r="K64" s="5"/>
      <c r="L64" s="5"/>
    </row>
    <row r="65">
      <c r="A65" s="5"/>
      <c r="B65" s="5"/>
      <c r="C65" s="5"/>
      <c r="D65" s="5"/>
      <c r="E65" s="5"/>
      <c r="F65" s="6"/>
      <c r="G65" s="5"/>
      <c r="H65" s="5"/>
      <c r="I65" s="5"/>
      <c r="J65" s="5"/>
      <c r="K65" s="5"/>
      <c r="L65" s="5"/>
    </row>
    <row r="66">
      <c r="A66" s="5"/>
      <c r="B66" s="5"/>
      <c r="C66" s="5"/>
      <c r="D66" s="5"/>
      <c r="E66" s="5"/>
      <c r="F66" s="6"/>
      <c r="G66" s="5"/>
      <c r="H66" s="5"/>
      <c r="I66" s="5"/>
      <c r="J66" s="5"/>
      <c r="K66" s="5"/>
      <c r="L66" s="5"/>
    </row>
    <row r="67">
      <c r="A67" s="5"/>
      <c r="B67" s="5"/>
      <c r="C67" s="5"/>
      <c r="D67" s="5"/>
      <c r="E67" s="5"/>
      <c r="F67" s="6"/>
      <c r="G67" s="5"/>
      <c r="H67" s="5"/>
      <c r="I67" s="5"/>
      <c r="J67" s="5"/>
      <c r="K67" s="5"/>
      <c r="L67" s="5"/>
    </row>
    <row r="68">
      <c r="A68" s="5"/>
      <c r="B68" s="5"/>
      <c r="C68" s="5"/>
      <c r="D68" s="5"/>
      <c r="E68" s="5"/>
      <c r="F68" s="6"/>
      <c r="G68" s="5"/>
      <c r="H68" s="5"/>
      <c r="I68" s="5"/>
      <c r="J68" s="5"/>
      <c r="K68" s="5"/>
      <c r="L68" s="5"/>
    </row>
    <row r="69">
      <c r="A69" s="5"/>
      <c r="B69" s="5"/>
      <c r="C69" s="5"/>
      <c r="D69" s="5"/>
      <c r="E69" s="5"/>
      <c r="F69" s="6"/>
      <c r="G69" s="5"/>
      <c r="H69" s="5"/>
      <c r="I69" s="5"/>
      <c r="J69" s="5"/>
      <c r="K69" s="5"/>
      <c r="L69" s="5"/>
    </row>
    <row r="70">
      <c r="A70" s="5"/>
      <c r="B70" s="5"/>
      <c r="C70" s="5"/>
      <c r="D70" s="5"/>
      <c r="E70" s="5"/>
      <c r="F70" s="6"/>
      <c r="G70" s="5"/>
      <c r="H70" s="5"/>
      <c r="I70" s="5"/>
      <c r="J70" s="5"/>
      <c r="K70" s="5"/>
      <c r="L70" s="5"/>
    </row>
    <row r="71">
      <c r="A71" s="5"/>
      <c r="B71" s="5"/>
      <c r="C71" s="5"/>
      <c r="D71" s="5"/>
      <c r="E71" s="5"/>
      <c r="F71" s="6"/>
      <c r="G71" s="5"/>
      <c r="H71" s="5"/>
      <c r="I71" s="5"/>
      <c r="J71" s="5"/>
      <c r="K71" s="5"/>
      <c r="L71" s="5"/>
    </row>
    <row r="72">
      <c r="A72" s="5"/>
      <c r="B72" s="5"/>
      <c r="C72" s="5"/>
      <c r="D72" s="5"/>
      <c r="E72" s="5"/>
      <c r="F72" s="6"/>
      <c r="G72" s="5"/>
      <c r="H72" s="5"/>
      <c r="I72" s="5"/>
      <c r="J72" s="5"/>
      <c r="K72" s="5"/>
      <c r="L72" s="5"/>
    </row>
    <row r="73">
      <c r="A73" s="5"/>
      <c r="B73" s="5"/>
      <c r="C73" s="5"/>
      <c r="D73" s="5"/>
      <c r="E73" s="5"/>
      <c r="F73" s="6"/>
      <c r="G73" s="5"/>
      <c r="H73" s="5"/>
      <c r="I73" s="5"/>
      <c r="J73" s="5"/>
      <c r="K73" s="5"/>
      <c r="L73" s="5"/>
    </row>
    <row r="74">
      <c r="A74" s="5"/>
      <c r="B74" s="5"/>
      <c r="C74" s="5"/>
      <c r="D74" s="5"/>
      <c r="E74" s="5"/>
      <c r="F74" s="6"/>
      <c r="G74" s="5"/>
      <c r="H74" s="5"/>
      <c r="I74" s="5"/>
      <c r="J74" s="5"/>
      <c r="K74" s="5"/>
      <c r="L74" s="5"/>
    </row>
    <row r="75">
      <c r="A75" s="5"/>
      <c r="B75" s="5"/>
      <c r="C75" s="5"/>
      <c r="D75" s="5"/>
      <c r="E75" s="5"/>
      <c r="F75" s="6"/>
      <c r="G75" s="5"/>
      <c r="H75" s="5"/>
      <c r="I75" s="5"/>
      <c r="J75" s="5"/>
      <c r="K75" s="5"/>
      <c r="L75" s="5"/>
    </row>
    <row r="76">
      <c r="A76" s="5"/>
      <c r="B76" s="5"/>
      <c r="C76" s="5"/>
      <c r="D76" s="5"/>
      <c r="E76" s="5"/>
      <c r="F76" s="6"/>
      <c r="G76" s="5"/>
      <c r="H76" s="5"/>
      <c r="I76" s="5"/>
      <c r="J76" s="5"/>
      <c r="K76" s="5"/>
      <c r="L76" s="5"/>
    </row>
    <row r="77">
      <c r="A77" s="5"/>
      <c r="B77" s="5"/>
      <c r="C77" s="5"/>
      <c r="D77" s="5"/>
      <c r="E77" s="5"/>
      <c r="F77" s="6"/>
      <c r="G77" s="5"/>
      <c r="H77" s="5"/>
      <c r="I77" s="5"/>
      <c r="J77" s="5"/>
      <c r="K77" s="5"/>
      <c r="L77" s="5"/>
    </row>
    <row r="78">
      <c r="A78" s="5"/>
      <c r="B78" s="5"/>
      <c r="C78" s="5"/>
      <c r="D78" s="5"/>
      <c r="E78" s="5"/>
      <c r="F78" s="6"/>
      <c r="G78" s="5"/>
      <c r="H78" s="5"/>
      <c r="I78" s="5"/>
      <c r="J78" s="5"/>
      <c r="K78" s="5"/>
      <c r="L78" s="5"/>
    </row>
    <row r="79">
      <c r="A79" s="5"/>
      <c r="B79" s="5"/>
      <c r="C79" s="5"/>
      <c r="D79" s="5"/>
      <c r="E79" s="5"/>
      <c r="F79" s="6"/>
      <c r="G79" s="5"/>
      <c r="H79" s="5"/>
      <c r="I79" s="5"/>
      <c r="J79" s="5"/>
      <c r="K79" s="5"/>
      <c r="L79" s="5"/>
    </row>
    <row r="80">
      <c r="A80" s="5"/>
      <c r="B80" s="5"/>
      <c r="C80" s="5"/>
      <c r="D80" s="5"/>
      <c r="E80" s="5"/>
      <c r="F80" s="6"/>
      <c r="G80" s="5"/>
      <c r="H80" s="5"/>
      <c r="I80" s="5"/>
      <c r="J80" s="5"/>
      <c r="K80" s="5"/>
      <c r="L80" s="5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  <row r="1001">
      <c r="F1001" s="7"/>
    </row>
  </sheetData>
  <drawing r:id="rId1"/>
</worksheet>
</file>